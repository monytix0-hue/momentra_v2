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Gap Register" sheetId="2" state="visible" r:id="rId2"/>
    <sheet xmlns:r="http://schemas.openxmlformats.org/officeDocument/2006/relationships" name="Execution Sequence" sheetId="3" state="visible" r:id="rId3"/>
    <sheet xmlns:r="http://schemas.openxmlformats.org/officeDocument/2006/relationships" name="Dependency Map" sheetId="4" state="visible" r:id="rId4"/>
    <sheet xmlns:r="http://schemas.openxmlformats.org/officeDocument/2006/relationships" name="Source Index" sheetId="5" state="visible" r:id="rId5"/>
    <sheet xmlns:r="http://schemas.openxmlformats.org/officeDocument/2006/relationships" name="Legend" sheetId="6" state="visible" r:id="rId6"/>
  </sheets>
  <definedNames>
    <definedName name="_xlnm._FilterDatabase" localSheetId="1" hidden="1">'Master Gap Register'!$A$1:$O$61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asterGapRegister" displayName="MasterGapRegister" ref="A1:O61" headerRowCount="1">
  <autoFilter ref="A1:O61"/>
  <tableColumns count="15">
    <tableColumn id="1" name="Gap ID"/>
    <tableColumn id="2" name="Domain"/>
    <tableColumn id="3" name="Module / Surface"/>
    <tableColumn id="4" name="Root Gap"/>
    <tableColumn id="5" name="Gap Type"/>
    <tableColumn id="6" name="Severity"/>
    <tableColumn id="7" name="Status"/>
    <tableColumn id="8" name="Current / Evidence"/>
    <tableColumn id="9" name="Required Closure"/>
    <tableColumn id="10" name="Exit / Validation Evidence"/>
    <tableColumn id="11" name="Audit Areas"/>
    <tableColumn id="12" name="Depends On"/>
    <tableColumn id="13" name="Execution Order"/>
    <tableColumn id="14" name="Execution Wave"/>
    <tableColumn id="15" name="Source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Momentra Master Deployment Gap Register</t>
        </is>
      </c>
    </row>
    <row r="2">
      <c r="A2" s="2" t="inlineStr">
        <is>
          <t>Single deduplicated root-gap register across Personal / Group / Business / Shared Platform</t>
        </is>
      </c>
    </row>
    <row r="4">
      <c r="A4" s="3" t="inlineStr">
        <is>
          <t>Portfolio Summary</t>
        </is>
      </c>
      <c r="D4" s="3" t="inlineStr">
        <is>
          <t>Domain</t>
        </is>
      </c>
      <c r="E4" s="3" t="inlineStr">
        <is>
          <t>Total</t>
        </is>
      </c>
      <c r="F4" s="3" t="inlineStr">
        <is>
          <t>P0</t>
        </is>
      </c>
    </row>
    <row r="5">
      <c r="A5" s="4" t="inlineStr">
        <is>
          <t>Total root gaps</t>
        </is>
      </c>
      <c r="B5" s="5">
        <f>COUNTA('Master Gap Register'!A2:A61)</f>
        <v/>
      </c>
      <c r="D5" t="inlineStr">
        <is>
          <t>Shared Platform</t>
        </is>
      </c>
      <c r="E5">
        <f>COUNTIF('Master Gap Register'!B2:B61,D5)</f>
        <v/>
      </c>
      <c r="F5">
        <f>COUNTIFS('Master Gap Register'!B2:B61,D5,'Master Gap Register'!F2:F61,"P0")</f>
        <v/>
      </c>
    </row>
    <row r="6">
      <c r="A6" s="4" t="inlineStr">
        <is>
          <t>P0 root gaps</t>
        </is>
      </c>
      <c r="B6" s="5">
        <f>COUNTIF('Master Gap Register'!F2:F61,"P0")</f>
        <v/>
      </c>
      <c r="D6" t="inlineStr">
        <is>
          <t>Personal</t>
        </is>
      </c>
      <c r="E6">
        <f>COUNTIF('Master Gap Register'!B2:B61,D6)</f>
        <v/>
      </c>
      <c r="F6">
        <f>COUNTIFS('Master Gap Register'!B2:B61,D6,'Master Gap Register'!F2:F61,"P0")</f>
        <v/>
      </c>
    </row>
    <row r="7">
      <c r="A7" s="4" t="inlineStr">
        <is>
          <t>P1 root gaps</t>
        </is>
      </c>
      <c r="B7" s="5">
        <f>COUNTIF('Master Gap Register'!F2:F61,"P1")</f>
        <v/>
      </c>
      <c r="D7" t="inlineStr">
        <is>
          <t>Group</t>
        </is>
      </c>
      <c r="E7">
        <f>COUNTIF('Master Gap Register'!B2:B61,D7)</f>
        <v/>
      </c>
      <c r="F7">
        <f>COUNTIFS('Master Gap Register'!B2:B61,D7,'Master Gap Register'!F2:F61,"P0")</f>
        <v/>
      </c>
    </row>
    <row r="8">
      <c r="A8" s="4" t="inlineStr">
        <is>
          <t>P2/P3 root gaps</t>
        </is>
      </c>
      <c r="B8" s="5">
        <f>COUNTIF('Master Gap Register'!F2:F61,"P2")+COUNTIF('Master Gap Register'!F2:F61,"P3")</f>
        <v/>
      </c>
      <c r="D8" t="inlineStr">
        <is>
          <t>Business</t>
        </is>
      </c>
      <c r="E8">
        <f>COUNTIF('Master Gap Register'!B2:B61,D8)</f>
        <v/>
      </c>
      <c r="F8">
        <f>COUNTIFS('Master Gap Register'!B2:B61,D8,'Master Gap Register'!F2:F61,"P0")</f>
        <v/>
      </c>
    </row>
    <row r="9">
      <c r="A9" s="4" t="inlineStr">
        <is>
          <t>Open</t>
        </is>
      </c>
      <c r="B9" s="5">
        <f>COUNTIF('Master Gap Register'!G2:G61,"OPEN")</f>
        <v/>
      </c>
    </row>
    <row r="10">
      <c r="A10" s="4" t="inlineStr">
        <is>
          <t>Deferred</t>
        </is>
      </c>
      <c r="B10" s="5">
        <f>COUNTIF('Master Gap Register'!G2:G61,"DEFERRED")</f>
        <v/>
      </c>
    </row>
    <row r="12">
      <c r="A12" s="3" t="inlineStr">
        <is>
          <t>Release logic</t>
        </is>
      </c>
    </row>
    <row r="13">
      <c r="A13" s="6" t="inlineStr">
        <is>
          <t>• Audit coverage may be 100% while runtime readiness is below 100%. This register tracks deduplicated root causes, not every audit observation.</t>
        </is>
      </c>
    </row>
    <row r="14">
      <c r="A14" s="6" t="inlineStr">
        <is>
          <t>• P0 = launch/security/data-integrity/core-flow blocker. P1 = required V1 incomplete/incorrect. P2/P3 = non-blocking/deferred/cleanup.</t>
        </is>
      </c>
    </row>
    <row r="15">
      <c r="A15" s="6" t="inlineStr">
        <is>
          <t>• Close dependencies first. A domain row is not CLOSED until its stated exit evidence exists; code completion alone is insufficient.</t>
        </is>
      </c>
    </row>
    <row r="16">
      <c r="A16" s="6" t="inlineStr">
        <is>
          <t>• Shared Platform root gaps are dependencies for multiple domain gaps and should not be duplicated inside each domain.</t>
        </is>
      </c>
    </row>
  </sheetData>
  <mergeCells count="8">
    <mergeCell ref="A2:F2"/>
    <mergeCell ref="A16:F16"/>
    <mergeCell ref="A13:F13"/>
    <mergeCell ref="A14:F14"/>
    <mergeCell ref="A1:F1"/>
    <mergeCell ref="A12:F12"/>
    <mergeCell ref="A4:C4"/>
    <mergeCell ref="A15:F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38" customWidth="1" min="4" max="4"/>
    <col width="20" customWidth="1" min="5" max="5"/>
    <col width="10" customWidth="1" min="6" max="6"/>
    <col width="12" customWidth="1" min="7" max="7"/>
    <col width="54" customWidth="1" min="8" max="8"/>
    <col width="58" customWidth="1" min="9" max="9"/>
    <col width="54" customWidth="1" min="10" max="10"/>
    <col width="14" customWidth="1" min="11" max="11"/>
    <col width="38" customWidth="1" min="12" max="12"/>
    <col width="14" customWidth="1" min="13" max="13"/>
    <col width="20" customWidth="1" min="14" max="14"/>
    <col width="40" customWidth="1" min="15" max="15"/>
  </cols>
  <sheetData>
    <row r="1">
      <c r="A1" s="7" t="inlineStr">
        <is>
          <t>Gap ID</t>
        </is>
      </c>
      <c r="B1" s="7" t="inlineStr">
        <is>
          <t>Domain</t>
        </is>
      </c>
      <c r="C1" s="7" t="inlineStr">
        <is>
          <t>Module / Surface</t>
        </is>
      </c>
      <c r="D1" s="7" t="inlineStr">
        <is>
          <t>Root Gap</t>
        </is>
      </c>
      <c r="E1" s="7" t="inlineStr">
        <is>
          <t>Gap Type</t>
        </is>
      </c>
      <c r="F1" s="7" t="inlineStr">
        <is>
          <t>Severity</t>
        </is>
      </c>
      <c r="G1" s="7" t="inlineStr">
        <is>
          <t>Status</t>
        </is>
      </c>
      <c r="H1" s="7" t="inlineStr">
        <is>
          <t>Current / Evidence</t>
        </is>
      </c>
      <c r="I1" s="7" t="inlineStr">
        <is>
          <t>Required Closure</t>
        </is>
      </c>
      <c r="J1" s="7" t="inlineStr">
        <is>
          <t>Exit / Validation Evidence</t>
        </is>
      </c>
      <c r="K1" s="7" t="inlineStr">
        <is>
          <t>Audit Areas</t>
        </is>
      </c>
      <c r="L1" s="7" t="inlineStr">
        <is>
          <t>Depends On</t>
        </is>
      </c>
      <c r="M1" s="7" t="inlineStr">
        <is>
          <t>Execution Order</t>
        </is>
      </c>
      <c r="N1" s="7" t="inlineStr">
        <is>
          <t>Execution Wave</t>
        </is>
      </c>
      <c r="O1" s="7" t="inlineStr">
        <is>
          <t>Source Basis</t>
        </is>
      </c>
    </row>
    <row r="2">
      <c r="A2" s="6" t="inlineStr">
        <is>
          <t>SP-001</t>
        </is>
      </c>
      <c r="B2" s="8" t="inlineStr">
        <is>
          <t>Shared Platform</t>
        </is>
      </c>
      <c r="C2" s="6" t="inlineStr">
        <is>
          <t>API Contracts</t>
        </is>
      </c>
      <c r="D2" s="6" t="inlineStr">
        <is>
          <t>OpenAPI vs live router reconciliation</t>
        </is>
      </c>
      <c r="E2" s="6" t="inlineStr">
        <is>
          <t>CONTRACT_GAP</t>
        </is>
      </c>
      <c r="F2" s="9" t="inlineStr">
        <is>
          <t>P1</t>
        </is>
      </c>
      <c r="G2" s="10" t="inlineStr">
        <is>
          <t>OPEN</t>
        </is>
      </c>
      <c r="H2" s="6" t="inlineStr">
        <is>
          <t>OpenAPI materially understates mounted routes; contract inventory and runtime are not one authoritative set.</t>
        </is>
      </c>
      <c r="I2" s="6" t="inlineStr">
        <is>
          <t>Reconcile OpenAPI, endpoint inventory, router and service implementation; classify documented-only, undocumented-live, duplicate, deprecated.</t>
        </is>
      </c>
      <c r="J2" s="6" t="inlineStr">
        <is>
          <t>All active V1 endpoints have one authoritative contract; zero unknown live routes.</t>
        </is>
      </c>
      <c r="K2" s="6" t="inlineStr">
        <is>
          <t>03</t>
        </is>
      </c>
      <c r="L2" s="6" t="inlineStr"/>
      <c r="M2" s="6" t="n">
        <v>1</v>
      </c>
      <c r="N2" s="6" t="inlineStr">
        <is>
          <t>Foundation</t>
        </is>
      </c>
      <c r="O2" s="6" t="inlineStr">
        <is>
          <t>api_middleware_sql_audit_e6cb162f.plan (1).md</t>
        </is>
      </c>
    </row>
    <row r="3">
      <c r="A3" s="6" t="inlineStr">
        <is>
          <t>SP-002</t>
        </is>
      </c>
      <c r="B3" s="8" t="inlineStr">
        <is>
          <t>Shared Platform</t>
        </is>
      </c>
      <c r="C3" s="6" t="inlineStr">
        <is>
          <t>API Standards</t>
        </is>
      </c>
      <c r="D3" s="6" t="inlineStr">
        <is>
          <t>Idempotency / OCC / stable errors</t>
        </is>
      </c>
      <c r="E3" s="6" t="inlineStr">
        <is>
          <t>CONTRACT_GAP</t>
        </is>
      </c>
      <c r="F3" s="10" t="inlineStr">
        <is>
          <t>P0</t>
        </is>
      </c>
      <c r="G3" s="10" t="inlineStr">
        <is>
          <t>OPEN</t>
        </is>
      </c>
      <c r="H3" s="6" t="inlineStr">
        <is>
          <t>Cross-cutting command guarantees are not proven consistently.</t>
        </is>
      </c>
      <c r="I3" s="6" t="inlineStr">
        <is>
          <t>Enforce Idempotency-Key, optimistic concurrency/version semantics, authorization and stable error shapes across all mutating V1 commands.</t>
        </is>
      </c>
      <c r="J3" s="6" t="inlineStr">
        <is>
          <t>Retry, conflict, unauthorized and validation contract suites pass.</t>
        </is>
      </c>
      <c r="K3" s="6" t="inlineStr">
        <is>
          <t>03,11,15,16</t>
        </is>
      </c>
      <c r="L3" s="6" t="inlineStr">
        <is>
          <t>SP-001</t>
        </is>
      </c>
      <c r="M3" s="6" t="n">
        <v>2</v>
      </c>
      <c r="N3" s="6" t="inlineStr">
        <is>
          <t>Foundation</t>
        </is>
      </c>
      <c r="O3" s="6" t="inlineStr">
        <is>
          <t>Business Deployment Closure Pack CL-40; 16-area audit</t>
        </is>
      </c>
    </row>
    <row r="4">
      <c r="A4" s="6" t="inlineStr">
        <is>
          <t>SP-003</t>
        </is>
      </c>
      <c r="B4" s="8" t="inlineStr">
        <is>
          <t>Shared Platform</t>
        </is>
      </c>
      <c r="C4" s="6" t="inlineStr">
        <is>
          <t>Identity &amp; Authorization</t>
        </is>
      </c>
      <c r="D4" s="6" t="inlineStr">
        <is>
          <t>Service-role + RLS authorization model</t>
        </is>
      </c>
      <c r="E4" s="6" t="inlineStr">
        <is>
          <t>AUTH_GAP</t>
        </is>
      </c>
      <c r="F4" s="10" t="inlineStr">
        <is>
          <t>P0</t>
        </is>
      </c>
      <c r="G4" s="10" t="inlineStr">
        <is>
          <t>OPEN</t>
        </is>
      </c>
      <c r="H4" s="6" t="inlineStr">
        <is>
          <t>RLS exists, but application uses privileged/service-role patterns; product authorization must be proven independently.</t>
        </is>
      </c>
      <c r="I4" s="6" t="inlineStr">
        <is>
          <t>Define and enforce application identity/context propagation; negative-test Personal ownership, Group membership/roles and Business company/team/location scope.</t>
        </is>
      </c>
      <c r="J4" s="6" t="inlineStr">
        <is>
          <t>Cross-tenant/group/company leakage tests all pass; no client-trusted authorization.</t>
        </is>
      </c>
      <c r="K4" s="6" t="inlineStr">
        <is>
          <t>11</t>
        </is>
      </c>
      <c r="L4" s="6" t="inlineStr">
        <is>
          <t>SP-002</t>
        </is>
      </c>
      <c r="M4" s="6" t="n">
        <v>3</v>
      </c>
      <c r="N4" s="6" t="inlineStr">
        <is>
          <t>Security</t>
        </is>
      </c>
      <c r="O4" s="6" t="inlineStr">
        <is>
          <t>16-area audit Area 11</t>
        </is>
      </c>
    </row>
    <row r="5">
      <c r="A5" s="6" t="inlineStr">
        <is>
          <t>SP-004</t>
        </is>
      </c>
      <c r="B5" s="8" t="inlineStr">
        <is>
          <t>Shared Platform</t>
        </is>
      </c>
      <c r="C5" s="6" t="inlineStr">
        <is>
          <t>Governance</t>
        </is>
      </c>
      <c r="D5" s="6" t="inlineStr">
        <is>
          <t>RBAC / policy enforcement</t>
        </is>
      </c>
      <c r="E5" s="6" t="inlineStr">
        <is>
          <t>AUTH_GAP</t>
        </is>
      </c>
      <c r="F5" s="10" t="inlineStr">
        <is>
          <t>P0</t>
        </is>
      </c>
      <c r="G5" s="10" t="inlineStr">
        <is>
          <t>OPEN</t>
        </is>
      </c>
      <c r="H5" s="6" t="inlineStr">
        <is>
          <t>Governance/role policy data exists but runtime enforcement is not fully proven.</t>
        </is>
      </c>
      <c r="I5" s="6" t="inlineStr">
        <is>
          <t>Reconcile frozen role/permission/policy matrices with server-side governance resolver and command authorization.</t>
        </is>
      </c>
      <c r="J5" s="6" t="inlineStr">
        <is>
          <t>Every governed action has server-side permission proof and forbidden-path tests.</t>
        </is>
      </c>
      <c r="K5" s="6" t="inlineStr">
        <is>
          <t>11,12</t>
        </is>
      </c>
      <c r="L5" s="6" t="inlineStr">
        <is>
          <t>SP-003</t>
        </is>
      </c>
      <c r="M5" s="6" t="n">
        <v>4</v>
      </c>
      <c r="N5" s="6" t="inlineStr">
        <is>
          <t>Security</t>
        </is>
      </c>
      <c r="O5" s="6" t="inlineStr">
        <is>
          <t>Group GM0-G03/GM0-G05; audit Area 11</t>
        </is>
      </c>
    </row>
    <row r="6">
      <c r="A6" s="6" t="inlineStr">
        <is>
          <t>SP-005</t>
        </is>
      </c>
      <c r="B6" s="8" t="inlineStr">
        <is>
          <t>Shared Platform</t>
        </is>
      </c>
      <c r="C6" s="6" t="inlineStr">
        <is>
          <t>Migrations</t>
        </is>
      </c>
      <c r="D6" s="6" t="inlineStr">
        <is>
          <t>Fresh + upgrade migration certification</t>
        </is>
      </c>
      <c r="E6" s="6" t="inlineStr">
        <is>
          <t>SCHEMA_GAP</t>
        </is>
      </c>
      <c r="F6" s="10" t="inlineStr">
        <is>
          <t>P0</t>
        </is>
      </c>
      <c r="G6" s="10" t="inlineStr">
        <is>
          <t>OPEN</t>
        </is>
      </c>
      <c r="H6" s="6" t="inlineStr">
        <is>
          <t>Production readiness requires clean install and forward upgrade validation through latest migrations.</t>
        </is>
      </c>
      <c r="I6" s="6" t="inlineStr">
        <is>
          <t>Run migration chain on clean PostgreSQL/Dev Supabase and supported upgrade baseline; validate constraints, indexes, enums, RLS, seeds.</t>
        </is>
      </c>
      <c r="J6" s="6" t="inlineStr">
        <is>
          <t>Fresh and upgrade paths complete with schema diff = expected and no ordering failures.</t>
        </is>
      </c>
      <c r="K6" s="6" t="inlineStr">
        <is>
          <t>06</t>
        </is>
      </c>
      <c r="L6" s="6" t="inlineStr">
        <is>
          <t>SP-003</t>
        </is>
      </c>
      <c r="M6" s="6" t="n">
        <v>5</v>
      </c>
      <c r="N6" s="6" t="inlineStr">
        <is>
          <t>Data Foundation</t>
        </is>
      </c>
      <c r="O6" s="6" t="inlineStr">
        <is>
          <t>16-area audit Area 6</t>
        </is>
      </c>
    </row>
    <row r="7">
      <c r="A7" s="6" t="inlineStr">
        <is>
          <t>SP-006</t>
        </is>
      </c>
      <c r="B7" s="8" t="inlineStr">
        <is>
          <t>Shared Platform</t>
        </is>
      </c>
      <c r="C7" s="6" t="inlineStr">
        <is>
          <t>Data Ownership</t>
        </is>
      </c>
      <c r="D7" s="6" t="inlineStr">
        <is>
          <t>Canonical ownership registry</t>
        </is>
      </c>
      <c r="E7" s="6" t="inlineStr">
        <is>
          <t>DATA_GAP</t>
        </is>
      </c>
      <c r="F7" s="10" t="inlineStr">
        <is>
          <t>P0</t>
        </is>
      </c>
      <c r="G7" s="10" t="inlineStr">
        <is>
          <t>OPEN</t>
        </is>
      </c>
      <c r="H7" s="6" t="inlineStr">
        <is>
          <t>Closest-writer/generic persistence exists in some flows; single authoritative owner per durable fact must be enforced.</t>
        </is>
      </c>
      <c r="I7" s="6" t="inlineStr">
        <is>
          <t>Freeze durable fact -&gt; canonical table/entity -&gt; writer command ownership; prohibit generic escape writers where first-class fact exists.</t>
        </is>
      </c>
      <c r="J7" s="6" t="inlineStr">
        <is>
          <t>Zero durable V1 fact has competing canonical owners or client-side authority.</t>
        </is>
      </c>
      <c r="K7" s="6" t="inlineStr">
        <is>
          <t>05</t>
        </is>
      </c>
      <c r="L7" s="6" t="inlineStr">
        <is>
          <t>SP-005</t>
        </is>
      </c>
      <c r="M7" s="6" t="n">
        <v>6</v>
      </c>
      <c r="N7" s="6" t="inlineStr">
        <is>
          <t>Data Foundation</t>
        </is>
      </c>
      <c r="O7" s="6" t="inlineStr">
        <is>
          <t>Audit Area 5; Business source/decision rules</t>
        </is>
      </c>
    </row>
    <row r="8">
      <c r="A8" s="6" t="inlineStr">
        <is>
          <t>SP-007</t>
        </is>
      </c>
      <c r="B8" s="8" t="inlineStr">
        <is>
          <t>Shared Platform</t>
        </is>
      </c>
      <c r="C8" s="6" t="inlineStr">
        <is>
          <t>Table Utilization</t>
        </is>
      </c>
      <c r="D8" s="6" t="inlineStr">
        <is>
          <t>200-table classification</t>
        </is>
      </c>
      <c r="E8" s="6" t="inlineStr">
        <is>
          <t>DATA_GAP</t>
        </is>
      </c>
      <c r="F8" s="9" t="inlineStr">
        <is>
          <t>P1</t>
        </is>
      </c>
      <c r="G8" s="10" t="inlineStr">
        <is>
          <t>OPEN</t>
        </is>
      </c>
      <c r="H8" s="6" t="inlineStr">
        <is>
          <t>Apparently unused tables include canonical/projection/worker/future/legacy possibilities; no-rest != orphan.</t>
        </is>
      </c>
      <c r="I8" s="6" t="inlineStr">
        <is>
          <t>Classify every table CANONICAL/PROJECTION/WORKER/FUTURE/LEGACY/ORPHAN and document expected writer/reader.</t>
        </is>
      </c>
      <c r="J8" s="6" t="inlineStr">
        <is>
          <t>Every table classified; orphan deletion candidates separately approved.</t>
        </is>
      </c>
      <c r="K8" s="6" t="inlineStr">
        <is>
          <t>07</t>
        </is>
      </c>
      <c r="L8" s="6" t="inlineStr">
        <is>
          <t>SP-005,SP-006</t>
        </is>
      </c>
      <c r="M8" s="6" t="n">
        <v>7</v>
      </c>
      <c r="N8" s="6" t="inlineStr">
        <is>
          <t>Data Foundation</t>
        </is>
      </c>
      <c r="O8" s="6" t="inlineStr">
        <is>
          <t>16-area audit Area 7</t>
        </is>
      </c>
    </row>
    <row r="9">
      <c r="A9" s="6" t="inlineStr">
        <is>
          <t>SP-008</t>
        </is>
      </c>
      <c r="B9" s="8" t="inlineStr">
        <is>
          <t>Shared Platform</t>
        </is>
      </c>
      <c r="C9" s="6" t="inlineStr">
        <is>
          <t>Events &amp; Workers</t>
        </is>
      </c>
      <c r="D9" s="6" t="inlineStr">
        <is>
          <t>Outbox / retry / DLQ / checkpoint chain</t>
        </is>
      </c>
      <c r="E9" s="6" t="inlineStr">
        <is>
          <t>WORKER_GAP</t>
        </is>
      </c>
      <c r="F9" s="10" t="inlineStr">
        <is>
          <t>P0</t>
        </is>
      </c>
      <c r="G9" s="10" t="inlineStr">
        <is>
          <t>OPEN</t>
        </is>
      </c>
      <c r="H9" s="6" t="inlineStr">
        <is>
          <t>Post-write worker reliability and recovery are not fully proven for all commands.</t>
        </is>
      </c>
      <c r="I9" s="6" t="inlineStr">
        <is>
          <t>Certify command transaction -&gt; outbox -&gt; dispatcher -&gt; worker -&gt; retry/DLQ/checkpoint with idempotent recovery.</t>
        </is>
      </c>
      <c r="J9" s="6" t="inlineStr">
        <is>
          <t>Representative failure/retry/recovery tests pass and no committed write is silently lost.</t>
        </is>
      </c>
      <c r="K9" s="6" t="inlineStr">
        <is>
          <t>09</t>
        </is>
      </c>
      <c r="L9" s="6" t="inlineStr">
        <is>
          <t>SP-002,SP-005,SP-006</t>
        </is>
      </c>
      <c r="M9" s="6" t="n">
        <v>8</v>
      </c>
      <c r="N9" s="6" t="inlineStr">
        <is>
          <t>Runtime Core</t>
        </is>
      </c>
      <c r="O9" s="6" t="inlineStr">
        <is>
          <t>16-area audit Area 9</t>
        </is>
      </c>
    </row>
    <row r="10">
      <c r="A10" s="6" t="inlineStr">
        <is>
          <t>SP-009</t>
        </is>
      </c>
      <c r="B10" s="8" t="inlineStr">
        <is>
          <t>Shared Platform</t>
        </is>
      </c>
      <c r="C10" s="6" t="inlineStr">
        <is>
          <t>Projections</t>
        </is>
      </c>
      <c r="D10" s="6" t="inlineStr">
        <is>
          <t>Projection generation and persistence</t>
        </is>
      </c>
      <c r="E10" s="6" t="inlineStr">
        <is>
          <t>PROJECTION_GAP</t>
        </is>
      </c>
      <c r="F10" s="10" t="inlineStr">
        <is>
          <t>P0</t>
        </is>
      </c>
      <c r="G10" s="10" t="inlineStr">
        <is>
          <t>OPEN</t>
        </is>
      </c>
      <c r="H10" s="6" t="inlineStr">
        <is>
          <t>Projection tables/read models are sometimes bypassed by inline queries; authoritative derivation path is inconsistent.</t>
        </is>
      </c>
      <c r="I10" s="6" t="inlineStr">
        <is>
          <t>For each frozen projection define canonical sources, generator, persistence/cache, version/freshness and API read contract.</t>
        </is>
      </c>
      <c r="J10" s="6" t="inlineStr">
        <is>
          <t>Pulse/Life/Memory/Finance read models are reproducible and projection lineage is documented.</t>
        </is>
      </c>
      <c r="K10" s="6" t="inlineStr">
        <is>
          <t>08</t>
        </is>
      </c>
      <c r="L10" s="6" t="inlineStr">
        <is>
          <t>SP-008</t>
        </is>
      </c>
      <c r="M10" s="6" t="n">
        <v>9</v>
      </c>
      <c r="N10" s="6" t="inlineStr">
        <is>
          <t>Runtime Core</t>
        </is>
      </c>
      <c r="O10" s="6" t="inlineStr">
        <is>
          <t>16-area audit Area 8</t>
        </is>
      </c>
    </row>
    <row r="11">
      <c r="A11" s="6" t="inlineStr">
        <is>
          <t>SP-010</t>
        </is>
      </c>
      <c r="B11" s="8" t="inlineStr">
        <is>
          <t>Shared Platform</t>
        </is>
      </c>
      <c r="C11" s="6" t="inlineStr">
        <is>
          <t>Refresh</t>
        </is>
      </c>
      <c r="D11" s="6" t="inlineStr">
        <is>
          <t>Write -&gt; invalidate -&gt; refetch</t>
        </is>
      </c>
      <c r="E11" s="6" t="inlineStr">
        <is>
          <t>REFRESH_GAP</t>
        </is>
      </c>
      <c r="F11" s="10" t="inlineStr">
        <is>
          <t>P0</t>
        </is>
      </c>
      <c r="G11" s="10" t="inlineStr">
        <is>
          <t>OPEN</t>
        </is>
      </c>
      <c r="H11" s="6" t="inlineStr">
        <is>
          <t>Realtime clients are incomplete and authoritative post-write refresh is not universally proven.</t>
        </is>
      </c>
      <c r="I11" s="6" t="inlineStr">
        <is>
          <t>Standardize invalidation semantics: canonical write -&gt; event -&gt; projection -&gt; FCM/SSE/cache invalidation -&gt; authoritative refetch.</t>
        </is>
      </c>
      <c r="J11" s="6" t="inlineStr">
        <is>
          <t>E2E tests show successful writes reach visible UI without stale authoritative state.</t>
        </is>
      </c>
      <c r="K11" s="6" t="inlineStr">
        <is>
          <t>13</t>
        </is>
      </c>
      <c r="L11" s="6" t="inlineStr">
        <is>
          <t>SP-008,SP-009</t>
        </is>
      </c>
      <c r="M11" s="6" t="n">
        <v>10</v>
      </c>
      <c r="N11" s="6" t="inlineStr">
        <is>
          <t>Runtime Core</t>
        </is>
      </c>
      <c r="O11" s="6" t="inlineStr">
        <is>
          <t>Audit Area 13; Business Life refresh rule</t>
        </is>
      </c>
    </row>
    <row r="12">
      <c r="A12" s="6" t="inlineStr">
        <is>
          <t>SP-011</t>
        </is>
      </c>
      <c r="B12" s="8" t="inlineStr">
        <is>
          <t>Shared Platform</t>
        </is>
      </c>
      <c r="C12" s="6" t="inlineStr">
        <is>
          <t>Metrics</t>
        </is>
      </c>
      <c r="D12" s="6" t="inlineStr">
        <is>
          <t>Metric catalogue + golden vectors</t>
        </is>
      </c>
      <c r="E12" s="6" t="inlineStr">
        <is>
          <t>METRIC_GAP</t>
        </is>
      </c>
      <c r="F12" s="10" t="inlineStr">
        <is>
          <t>P0</t>
        </is>
      </c>
      <c r="G12" s="10" t="inlineStr">
        <is>
          <t>OPEN</t>
        </is>
      </c>
      <c r="H12" s="6" t="inlineStr">
        <is>
          <t>Some formulas/thresholds/windows remain draft or use heuristics/proxies.</t>
        </is>
      </c>
      <c r="I12" s="6" t="inlineStr">
        <is>
          <t>Freeze metric version, inputs, window, formula, thresholds/state mapping and golden fixtures for all V1 metrics.</t>
        </is>
      </c>
      <c r="J12" s="6" t="inlineStr">
        <is>
          <t>All deterministic V1 metrics pass golden tests and reconcile to canonical data.</t>
        </is>
      </c>
      <c r="K12" s="6" t="inlineStr">
        <is>
          <t>10</t>
        </is>
      </c>
      <c r="L12" s="6" t="inlineStr">
        <is>
          <t>SP-006,SP-009</t>
        </is>
      </c>
      <c r="M12" s="6" t="n">
        <v>11</v>
      </c>
      <c r="N12" s="6" t="inlineStr">
        <is>
          <t>Intelligence Core</t>
        </is>
      </c>
      <c r="O12" s="6" t="inlineStr">
        <is>
          <t>Audit Area 10; Group GM0-G04</t>
        </is>
      </c>
    </row>
    <row r="13">
      <c r="A13" s="6" t="inlineStr">
        <is>
          <t>SP-012</t>
        </is>
      </c>
      <c r="B13" s="8" t="inlineStr">
        <is>
          <t>Shared Platform</t>
        </is>
      </c>
      <c r="C13" s="6" t="inlineStr">
        <is>
          <t>State Machines</t>
        </is>
      </c>
      <c r="D13" s="6" t="inlineStr">
        <is>
          <t>Lifecycle transition certification</t>
        </is>
      </c>
      <c r="E13" s="6" t="inlineStr">
        <is>
          <t>BUSINESS_RULE_GAP</t>
        </is>
      </c>
      <c r="F13" s="9" t="inlineStr">
        <is>
          <t>P1</t>
        </is>
      </c>
      <c r="G13" s="10" t="inlineStr">
        <is>
          <t>OPEN</t>
        </is>
      </c>
      <c r="H13" s="6" t="inlineStr">
        <is>
          <t>Polls, approvals, invites, issues/risks, goals, shares and recurring objects require allowed/forbidden transition proof.</t>
        </is>
      </c>
      <c r="I13" s="6" t="inlineStr">
        <is>
          <t>Define transition matrices and enforce server-side state/permission/audit rules.</t>
        </is>
      </c>
      <c r="J13" s="6" t="inlineStr">
        <is>
          <t>Allowed and prohibited transitions pass integration tests with audit evidence.</t>
        </is>
      </c>
      <c r="K13" s="6" t="inlineStr">
        <is>
          <t>12</t>
        </is>
      </c>
      <c r="L13" s="6" t="inlineStr">
        <is>
          <t>SP-002,SP-004,SP-006</t>
        </is>
      </c>
      <c r="M13" s="6" t="n">
        <v>12</v>
      </c>
      <c r="N13" s="6" t="inlineStr">
        <is>
          <t>Runtime Core</t>
        </is>
      </c>
      <c r="O13" s="6" t="inlineStr">
        <is>
          <t>16-area audit Area 12</t>
        </is>
      </c>
    </row>
    <row r="14">
      <c r="A14" s="6" t="inlineStr">
        <is>
          <t>SP-013</t>
        </is>
      </c>
      <c r="B14" s="8" t="inlineStr">
        <is>
          <t>Shared Platform</t>
        </is>
      </c>
      <c r="C14" s="6" t="inlineStr">
        <is>
          <t>Mobile Parity</t>
        </is>
      </c>
      <c r="D14" s="6" t="inlineStr">
        <is>
          <t>iOS / Android capability parity</t>
        </is>
      </c>
      <c r="E14" s="6" t="inlineStr">
        <is>
          <t>CLIENT_GAP</t>
        </is>
      </c>
      <c r="F14" s="9" t="inlineStr">
        <is>
          <t>P1</t>
        </is>
      </c>
      <c r="G14" s="10" t="inlineStr">
        <is>
          <t>OPEN</t>
        </is>
      </c>
      <c r="H14" s="6" t="inlineStr">
        <is>
          <t>Known endpoint and realtime capability asymmetries exist across clients.</t>
        </is>
      </c>
      <c r="I14" s="6" t="inlineStr">
        <is>
          <t>Reconcile frozen V1 capabilities and DTO/API wrappers as BOTH/IOS_ONLY/ANDROID_ONLY/MISSING; close required parity.</t>
        </is>
      </c>
      <c r="J14" s="6" t="inlineStr">
        <is>
          <t>All launch V1 capabilities classified; required items BOTH or explicitly platform-deferred.</t>
        </is>
      </c>
      <c r="K14" s="6" t="inlineStr">
        <is>
          <t>04</t>
        </is>
      </c>
      <c r="L14" s="6" t="inlineStr">
        <is>
          <t>SP-001,SP-002</t>
        </is>
      </c>
      <c r="M14" s="6" t="n">
        <v>13</v>
      </c>
      <c r="N14" s="6" t="inlineStr">
        <is>
          <t>Clients</t>
        </is>
      </c>
      <c r="O14" s="6" t="inlineStr">
        <is>
          <t>16-area audit Area 4</t>
        </is>
      </c>
    </row>
    <row r="15">
      <c r="A15" s="6" t="inlineStr">
        <is>
          <t>SP-014</t>
        </is>
      </c>
      <c r="B15" s="8" t="inlineStr">
        <is>
          <t>Shared Platform</t>
        </is>
      </c>
      <c r="C15" s="6" t="inlineStr">
        <is>
          <t>E2E Certification</t>
        </is>
      </c>
      <c r="D15" s="6" t="inlineStr">
        <is>
          <t>19 moment journeys + backend write proof</t>
        </is>
      </c>
      <c r="E15" s="6" t="inlineStr">
        <is>
          <t>TEST_GAP</t>
        </is>
      </c>
      <c r="F15" s="10" t="inlineStr">
        <is>
          <t>P0</t>
        </is>
      </c>
      <c r="G15" s="10" t="inlineStr">
        <is>
          <t>OPEN</t>
        </is>
      </c>
      <c r="H15" s="6" t="inlineStr">
        <is>
          <t>Audit plan records 0/19 Maestro moment journeys executed and backend write verification pending.</t>
        </is>
      </c>
      <c r="I15" s="6" t="inlineStr">
        <is>
          <t>Execute all frozen critical journeys with DB, outbox, projection and UI evidence.</t>
        </is>
      </c>
      <c r="J15" s="6" t="inlineStr">
        <is>
          <t>19/19 required journeys pass or approved launch exclusions are explicit; backend write evidence complete.</t>
        </is>
      </c>
      <c r="K15" s="6" t="inlineStr">
        <is>
          <t>14</t>
        </is>
      </c>
      <c r="L15" s="6" t="inlineStr">
        <is>
          <t>SP-002,SP-003,SP-005,SP-008,SP-009,SP-010,SP-013</t>
        </is>
      </c>
      <c r="M15" s="6" t="n">
        <v>90</v>
      </c>
      <c r="N15" s="6" t="inlineStr">
        <is>
          <t>Certification</t>
        </is>
      </c>
      <c r="O15" s="6" t="inlineStr">
        <is>
          <t>16-area audit preliminary findings</t>
        </is>
      </c>
    </row>
    <row r="16">
      <c r="A16" s="6" t="inlineStr">
        <is>
          <t>SP-015</t>
        </is>
      </c>
      <c r="B16" s="8" t="inlineStr">
        <is>
          <t>Shared Platform</t>
        </is>
      </c>
      <c r="C16" s="6" t="inlineStr">
        <is>
          <t>NFR</t>
        </is>
      </c>
      <c r="D16" s="6" t="inlineStr">
        <is>
          <t>Performance / resilience / recovery</t>
        </is>
      </c>
      <c r="E16" s="6" t="inlineStr">
        <is>
          <t>PERFORMANCE_GAP</t>
        </is>
      </c>
      <c r="F16" s="9" t="inlineStr">
        <is>
          <t>P1</t>
        </is>
      </c>
      <c r="G16" s="10" t="inlineStr">
        <is>
          <t>OPEN</t>
        </is>
      </c>
      <c r="H16" s="6" t="inlineStr">
        <is>
          <t>Production latency, query plans, pooling, Redis failure, retries, backups and reconnect behavior require certification.</t>
        </is>
      </c>
      <c r="I16" s="6" t="inlineStr">
        <is>
          <t>Run p50/p95/p99 and failure-mode tests on critical paths; validate indexes, pool, rate limits, backup/restore and offline/reconnect.</t>
        </is>
      </c>
      <c r="J16" s="6" t="inlineStr">
        <is>
          <t>NFR thresholds satisfied or documented exception approved.</t>
        </is>
      </c>
      <c r="K16" s="6" t="inlineStr">
        <is>
          <t>15</t>
        </is>
      </c>
      <c r="L16" s="6" t="inlineStr">
        <is>
          <t>SP-005,SP-008,SP-009</t>
        </is>
      </c>
      <c r="M16" s="6" t="n">
        <v>91</v>
      </c>
      <c r="N16" s="6" t="inlineStr">
        <is>
          <t>Certification</t>
        </is>
      </c>
      <c r="O16" s="6" t="inlineStr">
        <is>
          <t>16-area audit Area 15</t>
        </is>
      </c>
    </row>
    <row r="17">
      <c r="A17" s="6" t="inlineStr">
        <is>
          <t>SP-016</t>
        </is>
      </c>
      <c r="B17" s="8" t="inlineStr">
        <is>
          <t>Shared Platform</t>
        </is>
      </c>
      <c r="C17" s="6" t="inlineStr">
        <is>
          <t>Observability</t>
        </is>
      </c>
      <c r="D17" s="6" t="inlineStr">
        <is>
          <t>Logging / telemetry / alerting / release gate</t>
        </is>
      </c>
      <c r="E17" s="6" t="inlineStr">
        <is>
          <t>TEST_GAP</t>
        </is>
      </c>
      <c r="F17" s="9" t="inlineStr">
        <is>
          <t>P1</t>
        </is>
      </c>
      <c r="G17" s="10" t="inlineStr">
        <is>
          <t>OPEN</t>
        </is>
      </c>
      <c r="H17" s="6" t="inlineStr">
        <is>
          <t>Release observability and automated regression gate must be proven end-to-end.</t>
        </is>
      </c>
      <c r="I17" s="6" t="inlineStr">
        <is>
          <t>Verify correlation IDs, structured errors, worker/DLQ/projection alerts and CI contract/integration/auth/migration/E2E gates.</t>
        </is>
      </c>
      <c r="J17" s="6" t="inlineStr">
        <is>
          <t>Production release gate is automated: Unknown=0, P0=0, regression green.</t>
        </is>
      </c>
      <c r="K17" s="6" t="inlineStr">
        <is>
          <t>16</t>
        </is>
      </c>
      <c r="L17" s="6" t="inlineStr">
        <is>
          <t>SP-014,SP-015</t>
        </is>
      </c>
      <c r="M17" s="6" t="n">
        <v>99</v>
      </c>
      <c r="N17" s="6" t="inlineStr">
        <is>
          <t>Certification</t>
        </is>
      </c>
      <c r="O17" s="6" t="inlineStr">
        <is>
          <t>16-area audit Area 16</t>
        </is>
      </c>
    </row>
    <row r="18">
      <c r="A18" s="6" t="inlineStr">
        <is>
          <t>SP-017</t>
        </is>
      </c>
      <c r="B18" s="8" t="inlineStr">
        <is>
          <t>Shared Platform</t>
        </is>
      </c>
      <c r="C18" s="6" t="inlineStr">
        <is>
          <t>Legacy Cleanup</t>
        </is>
      </c>
      <c r="D18" s="6" t="inlineStr">
        <is>
          <t>Unmounted/deprecated route and schema cleanup</t>
        </is>
      </c>
      <c r="E18" s="6" t="inlineStr">
        <is>
          <t>LEGACY</t>
        </is>
      </c>
      <c r="F18" s="11" t="inlineStr">
        <is>
          <t>P3</t>
        </is>
      </c>
      <c r="G18" s="11" t="inlineStr">
        <is>
          <t>DEFERRED</t>
        </is>
      </c>
      <c r="H18" s="6" t="inlineStr">
        <is>
          <t>Unmounted duplicate router surfaces and legacy artifacts can create ambiguity.</t>
        </is>
      </c>
      <c r="I18" s="6" t="inlineStr">
        <is>
          <t>Remove or explicitly quarantine deprecated/unmounted routes and confirmed orphan schema after release stabilization.</t>
        </is>
      </c>
      <c r="J18" s="6" t="inlineStr">
        <is>
          <t>No deprecated surface can be accidentally mounted or used by clients.</t>
        </is>
      </c>
      <c r="K18" s="6" t="inlineStr">
        <is>
          <t>03,07</t>
        </is>
      </c>
      <c r="L18" s="6" t="inlineStr">
        <is>
          <t>SP-001,SP-007</t>
        </is>
      </c>
      <c r="M18" s="6" t="n">
        <v>120</v>
      </c>
      <c r="N18" s="6" t="inlineStr">
        <is>
          <t>Post-launch</t>
        </is>
      </c>
      <c r="O18" s="6" t="inlineStr">
        <is>
          <t>16-area audit preliminary findings</t>
        </is>
      </c>
    </row>
    <row r="19">
      <c r="A19" s="6" t="inlineStr">
        <is>
          <t>SP-018</t>
        </is>
      </c>
      <c r="B19" s="8" t="inlineStr">
        <is>
          <t>Shared Platform</t>
        </is>
      </c>
      <c r="C19" s="6" t="inlineStr">
        <is>
          <t>AI / Provenance</t>
        </is>
      </c>
      <c r="D19" s="6" t="inlineStr">
        <is>
          <t>Deferred intelligence honesty</t>
        </is>
      </c>
      <c r="E19" s="6" t="inlineStr">
        <is>
          <t>DEFERRED</t>
        </is>
      </c>
      <c r="F19" s="12" t="inlineStr">
        <is>
          <t>P2</t>
        </is>
      </c>
      <c r="G19" s="11" t="inlineStr">
        <is>
          <t>DEFERRED</t>
        </is>
      </c>
      <c r="H19" s="6" t="inlineStr">
        <is>
          <t>AI narrative/pattern/playbook outputs are not universally worker/provenance-backed.</t>
        </is>
      </c>
      <c r="I19" s="6" t="inlineStr">
        <is>
          <t>Keep unavailable intelligence honest-empty/feature-flagged until worker, provenance, evidence and confidence contract exists.</t>
        </is>
      </c>
      <c r="J19" s="6" t="inlineStr">
        <is>
          <t>No fabricated AI values; deterministic core functions without AI.</t>
        </is>
      </c>
      <c r="K19" s="6" t="inlineStr">
        <is>
          <t>08,09,10</t>
        </is>
      </c>
      <c r="L19" s="6" t="inlineStr">
        <is>
          <t>SP-008,SP-011</t>
        </is>
      </c>
      <c r="M19" s="6" t="n">
        <v>110</v>
      </c>
      <c r="N19" s="6" t="inlineStr">
        <is>
          <t>Deferred</t>
        </is>
      </c>
      <c r="O19" s="6" t="inlineStr">
        <is>
          <t>Business and Business Life closure rules</t>
        </is>
      </c>
    </row>
    <row r="20">
      <c r="A20" s="6" t="inlineStr">
        <is>
          <t>PER-001</t>
        </is>
      </c>
      <c r="B20" s="13" t="inlineStr">
        <is>
          <t>Personal</t>
        </is>
      </c>
      <c r="C20" s="6" t="inlineStr">
        <is>
          <t>Personal Core</t>
        </is>
      </c>
      <c r="D20" s="6" t="inlineStr">
        <is>
          <t>Forward V035-V037 schema implementation</t>
        </is>
      </c>
      <c r="E20" s="6" t="inlineStr">
        <is>
          <t>SCHEMA_GAP</t>
        </is>
      </c>
      <c r="F20" s="10" t="inlineStr">
        <is>
          <t>P0</t>
        </is>
      </c>
      <c r="G20" s="10" t="inlineStr">
        <is>
          <t>OPEN</t>
        </is>
      </c>
      <c r="H20" s="6" t="inlineStr">
        <is>
          <t>V035-V037 are promoted to implementation baseline but physical deployment remains pending.</t>
        </is>
      </c>
      <c r="I20" s="6" t="inlineStr">
        <is>
          <t>Implement/review forward SQL, constraints, indexes and RLS for Personal promoted canonical structures.</t>
        </is>
      </c>
      <c r="J20" s="6" t="inlineStr">
        <is>
          <t>Latest schema contains all approved Personal structures and migration tests pass.</t>
        </is>
      </c>
      <c r="K20" s="6" t="inlineStr">
        <is>
          <t>05,06</t>
        </is>
      </c>
      <c r="L20" s="6" t="inlineStr">
        <is>
          <t>SP-005,SP-006</t>
        </is>
      </c>
      <c r="M20" s="6" t="n">
        <v>20</v>
      </c>
      <c r="N20" s="6" t="inlineStr">
        <is>
          <t>Personal Foundation</t>
        </is>
      </c>
      <c r="O20" s="6" t="inlineStr">
        <is>
          <t>Personal POST-RESOLUTION Freeze Gate</t>
        </is>
      </c>
    </row>
    <row r="21">
      <c r="A21" s="6" t="inlineStr">
        <is>
          <t>PER-002</t>
        </is>
      </c>
      <c r="B21" s="13" t="inlineStr">
        <is>
          <t>Personal</t>
        </is>
      </c>
      <c r="C21" s="6" t="inlineStr">
        <is>
          <t>Personal Core</t>
        </is>
      </c>
      <c r="D21" s="6" t="inlineStr">
        <is>
          <t>Freeze and implement proposed Personal API routes/DTOs</t>
        </is>
      </c>
      <c r="E21" s="6" t="inlineStr">
        <is>
          <t>API_GAP</t>
        </is>
      </c>
      <c r="F21" s="10" t="inlineStr">
        <is>
          <t>P0</t>
        </is>
      </c>
      <c r="G21" s="10" t="inlineStr">
        <is>
          <t>OPEN</t>
        </is>
      </c>
      <c r="H21" s="6" t="inlineStr">
        <is>
          <t>Many Personal mapped interactions remain on proposed routes rather than physically frozen runtime contracts.</t>
        </is>
      </c>
      <c r="I21" s="6" t="inlineStr">
        <is>
          <t>Freeze OpenAPI/DTOs and implement routes for Personal moment creation and domain setup/observations/commands.</t>
        </is>
      </c>
      <c r="J21" s="6" t="inlineStr">
        <is>
          <t>Every actionable Personal widget has a concrete mounted route or explicit static/deferred classification.</t>
        </is>
      </c>
      <c r="K21" s="6" t="inlineStr">
        <is>
          <t>02,03</t>
        </is>
      </c>
      <c r="L21" s="6" t="inlineStr">
        <is>
          <t>PER-001,SP-001,SP-002</t>
        </is>
      </c>
      <c r="M21" s="6" t="n">
        <v>21</v>
      </c>
      <c r="N21" s="6" t="inlineStr">
        <is>
          <t>Personal Foundation</t>
        </is>
      </c>
      <c r="O21" s="6" t="inlineStr">
        <is>
          <t>Personal 1,979 widget mapping; Blocker Register</t>
        </is>
      </c>
    </row>
    <row r="22">
      <c r="A22" s="6" t="inlineStr">
        <is>
          <t>PER-003</t>
        </is>
      </c>
      <c r="B22" s="13" t="inlineStr">
        <is>
          <t>Personal</t>
        </is>
      </c>
      <c r="C22" s="6" t="inlineStr">
        <is>
          <t>Life Operations</t>
        </is>
      </c>
      <c r="D22" s="6" t="inlineStr">
        <is>
          <t>Recovery observation/detail runtime</t>
        </is>
      </c>
      <c r="E22" s="6" t="inlineStr">
        <is>
          <t>API_GAP</t>
        </is>
      </c>
      <c r="F22" s="9" t="inlineStr">
        <is>
          <t>P1</t>
        </is>
      </c>
      <c r="G22" s="10" t="inlineStr">
        <is>
          <t>OPEN</t>
        </is>
      </c>
      <c r="H22" s="6" t="inlineStr">
        <is>
          <t>Life Operations recovery widgets map to proposed recovery-observation routes and promoted schema, not proven runtime.</t>
        </is>
      </c>
      <c r="I22" s="6" t="inlineStr">
        <is>
          <t>Implement recovery observation/detail command/read contracts and projection refresh.</t>
        </is>
      </c>
      <c r="J22" s="6" t="inlineStr">
        <is>
          <t>Recovery capture persists canonically and Pulse/Life/Memory refresh correctly.</t>
        </is>
      </c>
      <c r="K22" s="6" t="inlineStr">
        <is>
          <t>02,08,14</t>
        </is>
      </c>
      <c r="L22" s="6" t="inlineStr">
        <is>
          <t>PER-001,PER-002,SP-008,SP-009,SP-010</t>
        </is>
      </c>
      <c r="M22" s="6" t="n">
        <v>30</v>
      </c>
      <c r="N22" s="6" t="inlineStr">
        <is>
          <t>Personal Vertical</t>
        </is>
      </c>
      <c r="O22" s="6" t="inlineStr">
        <is>
          <t>Personal Row Validation Register</t>
        </is>
      </c>
    </row>
    <row r="23">
      <c r="A23" s="6" t="inlineStr">
        <is>
          <t>PER-004</t>
        </is>
      </c>
      <c r="B23" s="13" t="inlineStr">
        <is>
          <t>Personal</t>
        </is>
      </c>
      <c r="C23" s="6" t="inlineStr">
        <is>
          <t>Future Building</t>
        </is>
      </c>
      <c r="D23" s="6" t="inlineStr">
        <is>
          <t>D04 Future Building extensions</t>
        </is>
      </c>
      <c r="E23" s="6" t="inlineStr">
        <is>
          <t>DATA_GAP</t>
        </is>
      </c>
      <c r="F23" s="9" t="inlineStr">
        <is>
          <t>P1</t>
        </is>
      </c>
      <c r="G23" s="10" t="inlineStr">
        <is>
          <t>OPEN</t>
        </is>
      </c>
      <c r="H23" s="6" t="inlineStr">
        <is>
          <t>Future Building still has a unique product/data decision family and previously missing canonical fields.</t>
        </is>
      </c>
      <c r="I23" s="6" t="inlineStr">
        <is>
          <t>Close D04 against frozen UI; implement canonical fields, commands and reads without inventing alternate storage.</t>
        </is>
      </c>
      <c r="J23" s="6" t="inlineStr">
        <is>
          <t>Future Building setup/quick adds/read models have complete traceability and runtime tests.</t>
        </is>
      </c>
      <c r="K23" s="6" t="inlineStr">
        <is>
          <t>01,02,05,10</t>
        </is>
      </c>
      <c r="L23" s="6" t="inlineStr">
        <is>
          <t>PER-001,PER-002,SP-011</t>
        </is>
      </c>
      <c r="M23" s="6" t="n">
        <v>31</v>
      </c>
      <c r="N23" s="6" t="inlineStr">
        <is>
          <t>Personal Vertical</t>
        </is>
      </c>
      <c r="O23" s="6" t="inlineStr">
        <is>
          <t>Personal Freeze Gate D04</t>
        </is>
      </c>
    </row>
    <row r="24">
      <c r="A24" s="6" t="inlineStr">
        <is>
          <t>PER-005</t>
        </is>
      </c>
      <c r="B24" s="13" t="inlineStr">
        <is>
          <t>Personal</t>
        </is>
      </c>
      <c r="C24" s="6" t="inlineStr">
        <is>
          <t>Lifestyle</t>
        </is>
      </c>
      <c r="D24" s="6" t="inlineStr">
        <is>
          <t>Lifestyle profile/setup persistence</t>
        </is>
      </c>
      <c r="E24" s="6" t="inlineStr">
        <is>
          <t>SCHEMA_GAP</t>
        </is>
      </c>
      <c r="F24" s="9" t="inlineStr">
        <is>
          <t>P1</t>
        </is>
      </c>
      <c r="G24" s="10" t="inlineStr">
        <is>
          <t>OPEN</t>
        </is>
      </c>
      <c r="H24" s="6" t="inlineStr">
        <is>
          <t>Lifestyle setup is design-ready but personal.lifestyle_profile and route/transport are not in earlier physical baseline.</t>
        </is>
      </c>
      <c r="I24" s="6" t="inlineStr">
        <is>
          <t>Deploy promoted Lifestyle profile schema and setup route/DTO; validate RLS and refresh.</t>
        </is>
      </c>
      <c r="J24" s="6" t="inlineStr">
        <is>
          <t>Lifestyle setup saves/loads all frozen fields and projections update.</t>
        </is>
      </c>
      <c r="K24" s="6" t="inlineStr">
        <is>
          <t>02,05,06,08</t>
        </is>
      </c>
      <c r="L24" s="6" t="inlineStr">
        <is>
          <t>PER-001,PER-002,SP-009,SP-010</t>
        </is>
      </c>
      <c r="M24" s="6" t="n">
        <v>32</v>
      </c>
      <c r="N24" s="6" t="inlineStr">
        <is>
          <t>Personal Vertical</t>
        </is>
      </c>
      <c r="O24" s="6" t="inlineStr">
        <is>
          <t>Personal Blocker Register Lifestyle</t>
        </is>
      </c>
    </row>
    <row r="25">
      <c r="A25" s="6" t="inlineStr">
        <is>
          <t>PER-006</t>
        </is>
      </c>
      <c r="B25" s="13" t="inlineStr">
        <is>
          <t>Personal</t>
        </is>
      </c>
      <c r="C25" s="6" t="inlineStr">
        <is>
          <t>Relationships</t>
        </is>
      </c>
      <c r="D25" s="6" t="inlineStr">
        <is>
          <t>D05 Relationship profile</t>
        </is>
      </c>
      <c r="E25" s="6" t="inlineStr">
        <is>
          <t>DATA_GAP</t>
        </is>
      </c>
      <c r="F25" s="9" t="inlineStr">
        <is>
          <t>P1</t>
        </is>
      </c>
      <c r="G25" s="10" t="inlineStr">
        <is>
          <t>OPEN</t>
        </is>
      </c>
      <c r="H25" s="6" t="inlineStr">
        <is>
          <t>Relationship profile remains a unique unresolved product/data decision family.</t>
        </is>
      </c>
      <c r="I25" s="6" t="inlineStr">
        <is>
          <t>Close D05 and implement frozen profile canonical/API/read contract.</t>
        </is>
      </c>
      <c r="J25" s="6" t="inlineStr">
        <is>
          <t>Relationship profile widgets have complete canonical trace and E2E evidence.</t>
        </is>
      </c>
      <c r="K25" s="6" t="inlineStr">
        <is>
          <t>01,02,05</t>
        </is>
      </c>
      <c r="L25" s="6" t="inlineStr">
        <is>
          <t>PER-001,PER-002</t>
        </is>
      </c>
      <c r="M25" s="6" t="n">
        <v>33</v>
      </c>
      <c r="N25" s="6" t="inlineStr">
        <is>
          <t>Personal Vertical</t>
        </is>
      </c>
      <c r="O25" s="6" t="inlineStr">
        <is>
          <t>Personal Freeze Gate D05</t>
        </is>
      </c>
    </row>
    <row r="26">
      <c r="A26" s="6" t="inlineStr">
        <is>
          <t>PER-007</t>
        </is>
      </c>
      <c r="B26" s="13" t="inlineStr">
        <is>
          <t>Personal</t>
        </is>
      </c>
      <c r="C26" s="6" t="inlineStr">
        <is>
          <t>Relationships</t>
        </is>
      </c>
      <c r="D26" s="6" t="inlineStr">
        <is>
          <t>D06 target/tag/edit matrix</t>
        </is>
      </c>
      <c r="E26" s="6" t="inlineStr">
        <is>
          <t>BUSINESS_RULE_GAP</t>
        </is>
      </c>
      <c r="F26" s="9" t="inlineStr">
        <is>
          <t>P1</t>
        </is>
      </c>
      <c r="G26" s="10" t="inlineStr">
        <is>
          <t>OPEN</t>
        </is>
      </c>
      <c r="H26" s="6" t="inlineStr">
        <is>
          <t>Relationship target/tag/edit semantics remain a unique unresolved decision family.</t>
        </is>
      </c>
      <c r="I26" s="6" t="inlineStr">
        <is>
          <t>Freeze editable fields, target/tag semantics, validations and update commands.</t>
        </is>
      </c>
      <c r="J26" s="6" t="inlineStr">
        <is>
          <t>Create/edit/target/tag lifecycle tests pass and UI reflects authoritative state.</t>
        </is>
      </c>
      <c r="K26" s="6" t="inlineStr">
        <is>
          <t>01,02,12</t>
        </is>
      </c>
      <c r="L26" s="6" t="inlineStr">
        <is>
          <t>PER-006,SP-012</t>
        </is>
      </c>
      <c r="M26" s="6" t="n">
        <v>34</v>
      </c>
      <c r="N26" s="6" t="inlineStr">
        <is>
          <t>Personal Vertical</t>
        </is>
      </c>
      <c r="O26" s="6" t="inlineStr">
        <is>
          <t>Personal Freeze Gate D06</t>
        </is>
      </c>
    </row>
    <row r="27">
      <c r="A27" s="6" t="inlineStr">
        <is>
          <t>PER-008</t>
        </is>
      </c>
      <c r="B27" s="13" t="inlineStr">
        <is>
          <t>Personal</t>
        </is>
      </c>
      <c r="C27" s="6" t="inlineStr">
        <is>
          <t>Personal Analytics</t>
        </is>
      </c>
      <c r="D27" s="6" t="inlineStr">
        <is>
          <t>D07 logic/enum/formula catalogue</t>
        </is>
      </c>
      <c r="E27" s="6" t="inlineStr">
        <is>
          <t>METRIC_GAP</t>
        </is>
      </c>
      <c r="F27" s="10" t="inlineStr">
        <is>
          <t>P0</t>
        </is>
      </c>
      <c r="G27" s="10" t="inlineStr">
        <is>
          <t>OPEN</t>
        </is>
      </c>
      <c r="H27" s="6" t="inlineStr">
        <is>
          <t>Personal logic/enums/formulas remain a unique unresolved decision family.</t>
        </is>
      </c>
      <c r="I27" s="6" t="inlineStr">
        <is>
          <t>Freeze enum catalogue, derivation formulas, thresholds and versioned metrics; implement server-side.</t>
        </is>
      </c>
      <c r="J27" s="6" t="inlineStr">
        <is>
          <t>Personal Pulse/Life/Memory deterministic outputs pass golden fixtures.</t>
        </is>
      </c>
      <c r="K27" s="6" t="inlineStr">
        <is>
          <t>10</t>
        </is>
      </c>
      <c r="L27" s="6" t="inlineStr">
        <is>
          <t>SP-011,PER-001</t>
        </is>
      </c>
      <c r="M27" s="6" t="n">
        <v>35</v>
      </c>
      <c r="N27" s="6" t="inlineStr">
        <is>
          <t>Personal Intelligence</t>
        </is>
      </c>
      <c r="O27" s="6" t="inlineStr">
        <is>
          <t>Personal Freeze Gate D07</t>
        </is>
      </c>
    </row>
    <row r="28">
      <c r="A28" s="6" t="inlineStr">
        <is>
          <t>PER-009</t>
        </is>
      </c>
      <c r="B28" s="13" t="inlineStr">
        <is>
          <t>Personal</t>
        </is>
      </c>
      <c r="C28" s="6" t="inlineStr">
        <is>
          <t>Personal Projections</t>
        </is>
      </c>
      <c r="D28" s="6" t="inlineStr">
        <is>
          <t>Pulse / Life / Memory projection implementation</t>
        </is>
      </c>
      <c r="E28" s="6" t="inlineStr">
        <is>
          <t>PROJECTION_GAP</t>
        </is>
      </c>
      <c r="F28" s="10" t="inlineStr">
        <is>
          <t>P0</t>
        </is>
      </c>
      <c r="G28" s="10" t="inlineStr">
        <is>
          <t>OPEN</t>
        </is>
      </c>
      <c r="H28" s="6" t="inlineStr">
        <is>
          <t>Personal production is explicitly not final until projection implementation is completed.</t>
        </is>
      </c>
      <c r="I28" s="6" t="inlineStr">
        <is>
          <t>Implement/promote Personal read models with freshness/version and refetch semantics.</t>
        </is>
      </c>
      <c r="J28" s="6" t="inlineStr">
        <is>
          <t>Personal canonical writes deterministically update Pulse/Life/Memory and visible UI.</t>
        </is>
      </c>
      <c r="K28" s="6" t="inlineStr">
        <is>
          <t>08,13,14</t>
        </is>
      </c>
      <c r="L28" s="6" t="inlineStr">
        <is>
          <t>PER-002,PER-003,PER-004,PER-005,PER-006,PER-008,SP-009,SP-010</t>
        </is>
      </c>
      <c r="M28" s="6" t="n">
        <v>45</v>
      </c>
      <c r="N28" s="6" t="inlineStr">
        <is>
          <t>Personal Integration</t>
        </is>
      </c>
      <c r="O28" s="6" t="inlineStr">
        <is>
          <t>Personal Freeze Gate production status</t>
        </is>
      </c>
    </row>
    <row r="29">
      <c r="A29" s="6" t="inlineStr">
        <is>
          <t>PER-010</t>
        </is>
      </c>
      <c r="B29" s="13" t="inlineStr">
        <is>
          <t>Personal</t>
        </is>
      </c>
      <c r="C29" s="6" t="inlineStr">
        <is>
          <t>Personal E2E</t>
        </is>
      </c>
      <c r="D29" s="6" t="inlineStr">
        <is>
          <t>Personal V1 vertical certification</t>
        </is>
      </c>
      <c r="E29" s="6" t="inlineStr">
        <is>
          <t>TEST_GAP</t>
        </is>
      </c>
      <c r="F29" s="10" t="inlineStr">
        <is>
          <t>P0</t>
        </is>
      </c>
      <c r="G29" s="10" t="inlineStr">
        <is>
          <t>OPEN</t>
        </is>
      </c>
      <c r="H29" s="6" t="inlineStr">
        <is>
          <t>Frozen UI/interaction mapping exists, but production-final behavior requires runtime proof.</t>
        </is>
      </c>
      <c r="I29" s="6" t="inlineStr">
        <is>
          <t>Run Personal creation, setup, Quick Add, edit, Pulse, Life, Memory and Action Center flows with DB/projection evidence.</t>
        </is>
      </c>
      <c r="J29" s="6" t="inlineStr">
        <is>
          <t>Personal launch journeys pass with no unknown mappings.</t>
        </is>
      </c>
      <c r="K29" s="6" t="inlineStr">
        <is>
          <t>14</t>
        </is>
      </c>
      <c r="L29" s="6" t="inlineStr">
        <is>
          <t>PER-009,SP-014</t>
        </is>
      </c>
      <c r="M29" s="6" t="n">
        <v>92</v>
      </c>
      <c r="N29" s="6" t="inlineStr">
        <is>
          <t>Certification</t>
        </is>
      </c>
      <c r="O29" s="6" t="inlineStr">
        <is>
          <t>16-area audit Area 14</t>
        </is>
      </c>
    </row>
    <row r="30">
      <c r="A30" s="6" t="inlineStr">
        <is>
          <t>GRP-001</t>
        </is>
      </c>
      <c r="B30" s="14" t="inlineStr">
        <is>
          <t>Group</t>
        </is>
      </c>
      <c r="C30" s="6" t="inlineStr">
        <is>
          <t>Poll Kernel</t>
        </is>
      </c>
      <c r="D30" s="6" t="inlineStr">
        <is>
          <t>Shared Poll physical target / transition</t>
        </is>
      </c>
      <c r="E30" s="6" t="inlineStr">
        <is>
          <t>SCHEMA_GAP</t>
        </is>
      </c>
      <c r="F30" s="10" t="inlineStr">
        <is>
          <t>P0</t>
        </is>
      </c>
      <c r="G30" s="10" t="inlineStr">
        <is>
          <t>OPEN</t>
        </is>
      </c>
      <c r="H30" s="6" t="inlineStr">
        <is>
          <t>V001-V030 has collaboration.poll family while freeze requires shared Poll kernel after V032; dual-engine ambiguity is prohibited.</t>
        </is>
      </c>
      <c r="I30" s="6" t="inlineStr">
        <is>
          <t>Complete shared Poll physical target and migration; reconcile canonical writer/reader.</t>
        </is>
      </c>
      <c r="J30" s="6" t="inlineStr">
        <is>
          <t>One poll canonical path is active; no silent dual-engine persistence.</t>
        </is>
      </c>
      <c r="K30" s="6" t="inlineStr">
        <is>
          <t>05,06,12</t>
        </is>
      </c>
      <c r="L30" s="6" t="inlineStr">
        <is>
          <t>SP-005,SP-006</t>
        </is>
      </c>
      <c r="M30" s="6" t="n">
        <v>20</v>
      </c>
      <c r="N30" s="6" t="inlineStr">
        <is>
          <t>Group Foundation</t>
        </is>
      </c>
      <c r="O30" s="6" t="inlineStr">
        <is>
          <t>GM0-G01</t>
        </is>
      </c>
    </row>
    <row r="31">
      <c r="A31" s="6" t="inlineStr">
        <is>
          <t>GRP-002</t>
        </is>
      </c>
      <c r="B31" s="14" t="inlineStr">
        <is>
          <t>Group</t>
        </is>
      </c>
      <c r="C31" s="6" t="inlineStr">
        <is>
          <t>Group Analytics</t>
        </is>
      </c>
      <c r="D31" s="6" t="inlineStr">
        <is>
          <t>Production metric semantics</t>
        </is>
      </c>
      <c r="E31" s="6" t="inlineStr">
        <is>
          <t>METRIC_GAP</t>
        </is>
      </c>
      <c r="F31" s="10" t="inlineStr">
        <is>
          <t>P0</t>
        </is>
      </c>
      <c r="G31" s="10" t="inlineStr">
        <is>
          <t>OPEN</t>
        </is>
      </c>
      <c r="H31" s="6" t="inlineStr">
        <is>
          <t>Metric versions/formulas/thresholds remain draft in Group release status.</t>
        </is>
      </c>
      <c r="I31" s="6" t="inlineStr">
        <is>
          <t>Freeze Group metric catalogue and implement deterministic analytics/projection calculations.</t>
        </is>
      </c>
      <c r="J31" s="6" t="inlineStr">
        <is>
          <t>Group KPI golden vectors pass and client displays server-authoritative values.</t>
        </is>
      </c>
      <c r="K31" s="6" t="inlineStr">
        <is>
          <t>10</t>
        </is>
      </c>
      <c r="L31" s="6" t="inlineStr">
        <is>
          <t>SP-011,GRP-001</t>
        </is>
      </c>
      <c r="M31" s="6" t="n">
        <v>25</v>
      </c>
      <c r="N31" s="6" t="inlineStr">
        <is>
          <t>Group Foundation</t>
        </is>
      </c>
      <c r="O31" s="6" t="inlineStr">
        <is>
          <t>GM0-G04</t>
        </is>
      </c>
    </row>
    <row r="32">
      <c r="A32" s="6" t="inlineStr">
        <is>
          <t>GRP-003</t>
        </is>
      </c>
      <c r="B32" s="14" t="inlineStr">
        <is>
          <t>Group</t>
        </is>
      </c>
      <c r="C32" s="6" t="inlineStr">
        <is>
          <t>Group Governance</t>
        </is>
      </c>
      <c r="D32" s="6" t="inlineStr">
        <is>
          <t>Policy / approval threshold semantics</t>
        </is>
      </c>
      <c r="E32" s="6" t="inlineStr">
        <is>
          <t>BUSINESS_RULE_GAP</t>
        </is>
      </c>
      <c r="F32" s="10" t="inlineStr">
        <is>
          <t>P0</t>
        </is>
      </c>
      <c r="G32" s="10" t="inlineStr">
        <is>
          <t>OPEN</t>
        </is>
      </c>
      <c r="H32" s="6" t="inlineStr">
        <is>
          <t>Policy versions/rules/approval thresholds remain draft.</t>
        </is>
      </c>
      <c r="I32" s="6" t="inlineStr">
        <is>
          <t>Freeze server governance policy catalogue and bind approval/eligibility rules to it.</t>
        </is>
      </c>
      <c r="J32" s="6" t="inlineStr">
        <is>
          <t>No governed Group action relies on hardcoded UI eligibility; transition tests pass.</t>
        </is>
      </c>
      <c r="K32" s="6" t="inlineStr">
        <is>
          <t>11,12</t>
        </is>
      </c>
      <c r="L32" s="6" t="inlineStr">
        <is>
          <t>SP-004,SP-012</t>
        </is>
      </c>
      <c r="M32" s="6" t="n">
        <v>26</v>
      </c>
      <c r="N32" s="6" t="inlineStr">
        <is>
          <t>Group Foundation</t>
        </is>
      </c>
      <c r="O32" s="6" t="inlineStr">
        <is>
          <t>GM0-G05</t>
        </is>
      </c>
    </row>
    <row r="33">
      <c r="A33" s="6" t="inlineStr">
        <is>
          <t>GRP-004</t>
        </is>
      </c>
      <c r="B33" s="14" t="inlineStr">
        <is>
          <t>Group</t>
        </is>
      </c>
      <c r="C33" s="6" t="inlineStr">
        <is>
          <t>Quick Add</t>
        </is>
      </c>
      <c r="D33" s="6" t="inlineStr">
        <is>
          <t>Subtype capability reconciliation</t>
        </is>
      </c>
      <c r="E33" s="6" t="inlineStr">
        <is>
          <t>CLIENT_GAP</t>
        </is>
      </c>
      <c r="F33" s="9" t="inlineStr">
        <is>
          <t>P1</t>
        </is>
      </c>
      <c r="G33" s="10" t="inlineStr">
        <is>
          <t>OPEN</t>
        </is>
      </c>
      <c r="H33" s="6" t="inlineStr">
        <is>
          <t>Final per-Moment-Type Quick Add subsets must be reconciled to the frozen 4,210-widget authority.</t>
        </is>
      </c>
      <c r="I33" s="6" t="inlineStr">
        <is>
          <t>Reconcile each Group moment type Quick Add capability with frozen mapping and runtime enablement.</t>
        </is>
      </c>
      <c r="J33" s="6" t="inlineStr">
        <is>
          <t>No enabled unsupported action and no frozen required action omitted.</t>
        </is>
      </c>
      <c r="K33" s="6" t="inlineStr">
        <is>
          <t>01,02,04</t>
        </is>
      </c>
      <c r="L33" s="6" t="inlineStr">
        <is>
          <t>GRP-002,GRP-003,SP-013</t>
        </is>
      </c>
      <c r="M33" s="6" t="n">
        <v>30</v>
      </c>
      <c r="N33" s="6" t="inlineStr">
        <is>
          <t>Group Vertical</t>
        </is>
      </c>
      <c r="O33" s="6" t="inlineStr">
        <is>
          <t>GM0-G02</t>
        </is>
      </c>
    </row>
    <row r="34">
      <c r="A34" s="6" t="inlineStr">
        <is>
          <t>GRP-005</t>
        </is>
      </c>
      <c r="B34" s="14" t="inlineStr">
        <is>
          <t>Group</t>
        </is>
      </c>
      <c r="C34" s="6" t="inlineStr">
        <is>
          <t>Roles &amp; Permissions</t>
        </is>
      </c>
      <c r="D34" s="6" t="inlineStr">
        <is>
          <t>Frozen role/permission reconciliation</t>
        </is>
      </c>
      <c r="E34" s="6" t="inlineStr">
        <is>
          <t>AUTH_GAP</t>
        </is>
      </c>
      <c r="F34" s="9" t="inlineStr">
        <is>
          <t>P1</t>
        </is>
      </c>
      <c r="G34" s="10" t="inlineStr">
        <is>
          <t>OPEN</t>
        </is>
      </c>
      <c r="H34" s="6" t="inlineStr">
        <is>
          <t>Current role/permission matrix may differ from frozen governance authority; action widgets remain partial until confirmed.</t>
        </is>
      </c>
      <c r="I34" s="6" t="inlineStr">
        <is>
          <t>Map every action widget to permission code/path and enforce server-side.</t>
        </is>
      </c>
      <c r="J34" s="6" t="inlineStr">
        <is>
          <t>Positive/negative role tests pass for all governed Group commands.</t>
        </is>
      </c>
      <c r="K34" s="6" t="inlineStr">
        <is>
          <t>11</t>
        </is>
      </c>
      <c r="L34" s="6" t="inlineStr">
        <is>
          <t>GRP-003,SP-003,SP-004</t>
        </is>
      </c>
      <c r="M34" s="6" t="n">
        <v>31</v>
      </c>
      <c r="N34" s="6" t="inlineStr">
        <is>
          <t>Group Vertical</t>
        </is>
      </c>
      <c r="O34" s="6" t="inlineStr">
        <is>
          <t>GM0-G03</t>
        </is>
      </c>
    </row>
    <row r="35">
      <c r="A35" s="6" t="inlineStr">
        <is>
          <t>GRP-006</t>
        </is>
      </c>
      <c r="B35" s="14" t="inlineStr">
        <is>
          <t>Group</t>
        </is>
      </c>
      <c r="C35" s="6" t="inlineStr">
        <is>
          <t>Collaboration Quick Adds</t>
        </is>
      </c>
      <c r="D35" s="6" t="inlineStr">
        <is>
          <t>Explicit command routes/DTOs</t>
        </is>
      </c>
      <c r="E35" s="6" t="inlineStr">
        <is>
          <t>API_GAP</t>
        </is>
      </c>
      <c r="F35" s="10" t="inlineStr">
        <is>
          <t>P0</t>
        </is>
      </c>
      <c r="G35" s="10" t="inlineStr">
        <is>
          <t>OPEN</t>
        </is>
      </c>
      <c r="H35" s="6" t="inlineStr">
        <is>
          <t>Canonical tables exist for booking/vendor/attendance/planning/update/purchase/living actions but explicit command contracts are incomplete.</t>
        </is>
      </c>
      <c r="I35" s="6" t="inlineStr">
        <is>
          <t>Freeze and implement explicit /v1 routes and DTOs for collaboration quick adds; remove generic fallbacks.</t>
        </is>
      </c>
      <c r="J35" s="6" t="inlineStr">
        <is>
          <t>Each frozen Quick Add lands in intended canonical fact and refreshes projections.</t>
        </is>
      </c>
      <c r="K35" s="6" t="inlineStr">
        <is>
          <t>02,03,05,14</t>
        </is>
      </c>
      <c r="L35" s="6" t="inlineStr">
        <is>
          <t>GRP-001,GRP-003,SP-001,SP-002,SP-006,SP-008</t>
        </is>
      </c>
      <c r="M35" s="6" t="n">
        <v>32</v>
      </c>
      <c r="N35" s="6" t="inlineStr">
        <is>
          <t>Group Vertical</t>
        </is>
      </c>
      <c r="O35" s="6" t="inlineStr">
        <is>
          <t>GM0-G06</t>
        </is>
      </c>
    </row>
    <row r="36">
      <c r="A36" s="6" t="inlineStr">
        <is>
          <t>GRP-007</t>
        </is>
      </c>
      <c r="B36" s="14" t="inlineStr">
        <is>
          <t>Group</t>
        </is>
      </c>
      <c r="C36" s="6" t="inlineStr">
        <is>
          <t>Settlement</t>
        </is>
      </c>
      <c r="D36" s="6" t="inlineStr">
        <is>
          <t>Settlement HTTP contract</t>
        </is>
      </c>
      <c r="E36" s="6" t="inlineStr">
        <is>
          <t>API_GAP</t>
        </is>
      </c>
      <c r="F36" s="10" t="inlineStr">
        <is>
          <t>P0</t>
        </is>
      </c>
      <c r="G36" s="10" t="inlineStr">
        <is>
          <t>OPEN</t>
        </is>
      </c>
      <c r="H36" s="6" t="inlineStr">
        <is>
          <t>Finance settlement canonicals exist and UI has a multi-screen settlement flow, but explicit endpoint is a contract gap.</t>
        </is>
      </c>
      <c r="I36" s="6" t="inlineStr">
        <is>
          <t>Freeze settlement commands/read DTOs with server-side validation and authorization.</t>
        </is>
      </c>
      <c r="J36" s="6" t="inlineStr">
        <is>
          <t>Settlement E2E creates valid allocations/obligations and refreshes Finance/Life.</t>
        </is>
      </c>
      <c r="K36" s="6" t="inlineStr">
        <is>
          <t>02,03,12,14</t>
        </is>
      </c>
      <c r="L36" s="6" t="inlineStr">
        <is>
          <t>GRP-005,SP-002,SP-006,SP-008</t>
        </is>
      </c>
      <c r="M36" s="6" t="n">
        <v>33</v>
      </c>
      <c r="N36" s="6" t="inlineStr">
        <is>
          <t>Group Vertical</t>
        </is>
      </c>
      <c r="O36" s="6" t="inlineStr">
        <is>
          <t>GM0-G07</t>
        </is>
      </c>
    </row>
    <row r="37">
      <c r="A37" s="6" t="inlineStr">
        <is>
          <t>GRP-008</t>
        </is>
      </c>
      <c r="B37" s="14" t="inlineStr">
        <is>
          <t>Group</t>
        </is>
      </c>
      <c r="C37" s="6" t="inlineStr">
        <is>
          <t>Group Projections</t>
        </is>
      </c>
      <c r="D37" s="6" t="inlineStr">
        <is>
          <t>Widget-level projection contract granularity</t>
        </is>
      </c>
      <c r="E37" s="6" t="inlineStr">
        <is>
          <t>PROJECTION_GAP</t>
        </is>
      </c>
      <c r="F37" s="9" t="inlineStr">
        <is>
          <t>P1</t>
        </is>
      </c>
      <c r="G37" s="10" t="inlineStr">
        <is>
          <t>OPEN</t>
        </is>
      </c>
      <c r="H37" s="6" t="inlineStr">
        <is>
          <t>group_* projections may use payload blobs while exact widget-specific payload contract is unspecified for partial rows.</t>
        </is>
      </c>
      <c r="I37" s="6" t="inlineStr">
        <is>
          <t>Freeze projection DTO/payload schemas for Pulse/Life/Memory/Finance/recent activity and bind clients.</t>
        </is>
      </c>
      <c r="J37" s="6" t="inlineStr">
        <is>
          <t>All read widgets have exact projection fields and freshness/refetch semantics.</t>
        </is>
      </c>
      <c r="K37" s="6" t="inlineStr">
        <is>
          <t>08,13</t>
        </is>
      </c>
      <c r="L37" s="6" t="inlineStr">
        <is>
          <t>GRP-002,GRP-006,GRP-007,SP-009,SP-010</t>
        </is>
      </c>
      <c r="M37" s="6" t="n">
        <v>45</v>
      </c>
      <c r="N37" s="6" t="inlineStr">
        <is>
          <t>Group Integration</t>
        </is>
      </c>
      <c r="O37" s="6" t="inlineStr">
        <is>
          <t>GM0-G08</t>
        </is>
      </c>
    </row>
    <row r="38">
      <c r="A38" s="6" t="inlineStr">
        <is>
          <t>GRP-009</t>
        </is>
      </c>
      <c r="B38" s="14" t="inlineStr">
        <is>
          <t>Group</t>
        </is>
      </c>
      <c r="C38" s="6" t="inlineStr">
        <is>
          <t>Runtime Engine</t>
        </is>
      </c>
      <c r="D38" s="6" t="inlineStr">
        <is>
          <t>Production engine execution</t>
        </is>
      </c>
      <c r="E38" s="6" t="inlineStr">
        <is>
          <t>TEST_GAP</t>
        </is>
      </c>
      <c r="F38" s="10" t="inlineStr">
        <is>
          <t>P0</t>
        </is>
      </c>
      <c r="G38" s="10" t="inlineStr">
        <is>
          <t>OPEN</t>
        </is>
      </c>
      <c r="H38" s="6" t="inlineStr">
        <is>
          <t>Release status states V001-V030 were not executed end-to-end on clean PostgreSQL/Dev Supabase.</t>
        </is>
      </c>
      <c r="I38" s="6" t="inlineStr">
        <is>
          <t>Execute full Group schema/runtime engine and verify writes, workers, projections and reads.</t>
        </is>
      </c>
      <c r="J38" s="6" t="inlineStr">
        <is>
          <t>Clean environment Group deployment and critical E2E suite pass.</t>
        </is>
      </c>
      <c r="K38" s="6" t="inlineStr">
        <is>
          <t>06,09,14</t>
        </is>
      </c>
      <c r="L38" s="6" t="inlineStr">
        <is>
          <t>GRP-001,GRP-006,GRP-007,GRP-008,SP-014</t>
        </is>
      </c>
      <c r="M38" s="6" t="n">
        <v>93</v>
      </c>
      <c r="N38" s="6" t="inlineStr">
        <is>
          <t>Certification</t>
        </is>
      </c>
      <c r="O38" s="6" t="inlineStr">
        <is>
          <t>GM0-G09</t>
        </is>
      </c>
    </row>
    <row r="39">
      <c r="A39" s="6" t="inlineStr">
        <is>
          <t>BUS-001</t>
        </is>
      </c>
      <c r="B39" s="15" t="inlineStr">
        <is>
          <t>Business</t>
        </is>
      </c>
      <c r="C39" s="6" t="inlineStr">
        <is>
          <t>Team Operations</t>
        </is>
      </c>
      <c r="D39" s="6" t="inlineStr">
        <is>
          <t>Explicit Decision / Meeting / Retrospective / Activity commands</t>
        </is>
      </c>
      <c r="E39" s="6" t="inlineStr">
        <is>
          <t>API_GAP</t>
        </is>
      </c>
      <c r="F39" s="10" t="inlineStr">
        <is>
          <t>P0</t>
        </is>
      </c>
      <c r="G39" s="10" t="inlineStr">
        <is>
          <t>OPEN</t>
        </is>
      </c>
      <c r="H39" s="6" t="inlineStr">
        <is>
          <t>These Quick Adds currently use generic business-updates closest writer.</t>
        </is>
      </c>
      <c r="I39" s="6" t="inlineStr">
        <is>
          <t>Implement first-class commands and canonical work/business facts; rewire clients.</t>
        </is>
      </c>
      <c r="J39" s="6" t="inlineStr">
        <is>
          <t>Each action persists intended canonical fact, emits outbox and refreshes projections.</t>
        </is>
      </c>
      <c r="K39" s="6" t="inlineStr">
        <is>
          <t>02,03,05,09,14</t>
        </is>
      </c>
      <c r="L39" s="6" t="inlineStr">
        <is>
          <t>SP-002,SP-006,SP-008</t>
        </is>
      </c>
      <c r="M39" s="6" t="n">
        <v>30</v>
      </c>
      <c r="N39" s="6" t="inlineStr">
        <is>
          <t>Business Vertical</t>
        </is>
      </c>
      <c r="O39" s="6" t="inlineStr">
        <is>
          <t>Business Closure rows 7-10 / CL-13</t>
        </is>
      </c>
    </row>
    <row r="40">
      <c r="A40" s="6" t="inlineStr">
        <is>
          <t>BUS-002</t>
        </is>
      </c>
      <c r="B40" s="15" t="inlineStr">
        <is>
          <t>Business</t>
        </is>
      </c>
      <c r="C40" s="6" t="inlineStr">
        <is>
          <t>Team Operations</t>
        </is>
      </c>
      <c r="D40" s="6" t="inlineStr">
        <is>
          <t>Recognition canonical contract</t>
        </is>
      </c>
      <c r="E40" s="6" t="inlineStr">
        <is>
          <t>SCHEMA_GAP</t>
        </is>
      </c>
      <c r="F40" s="10" t="inlineStr">
        <is>
          <t>P0</t>
        </is>
      </c>
      <c r="G40" s="10" t="inlineStr">
        <is>
          <t>OPEN</t>
        </is>
      </c>
      <c r="H40" s="6" t="inlineStr">
        <is>
          <t>Recognition currently uses generic business-update and requires canonical schema/API.</t>
        </is>
      </c>
      <c r="I40" s="6" t="inlineStr">
        <is>
          <t>Create business.recognition and first-class command; rewire client.</t>
        </is>
      </c>
      <c r="J40" s="6" t="inlineStr">
        <is>
          <t>Recipient/type/message persist canonically and appear in downstream reads.</t>
        </is>
      </c>
      <c r="K40" s="6" t="inlineStr">
        <is>
          <t>02,03,05,06,14</t>
        </is>
      </c>
      <c r="L40" s="6" t="inlineStr">
        <is>
          <t>SP-005,SP-006,SP-008</t>
        </is>
      </c>
      <c r="M40" s="6" t="n">
        <v>31</v>
      </c>
      <c r="N40" s="6" t="inlineStr">
        <is>
          <t>Business Vertical</t>
        </is>
      </c>
      <c r="O40" s="6" t="inlineStr">
        <is>
          <t>Business Closure row 11 / CL-14</t>
        </is>
      </c>
    </row>
    <row r="41">
      <c r="A41" s="6" t="inlineStr">
        <is>
          <t>BUS-003</t>
        </is>
      </c>
      <c r="B41" s="15" t="inlineStr">
        <is>
          <t>Business</t>
        </is>
      </c>
      <c r="C41" s="6" t="inlineStr">
        <is>
          <t>Team Operations</t>
        </is>
      </c>
      <c r="D41" s="6" t="inlineStr">
        <is>
          <t>Milestone client rewire</t>
        </is>
      </c>
      <c r="E41" s="6" t="inlineStr">
        <is>
          <t>CLIENT_GAP</t>
        </is>
      </c>
      <c r="F41" s="10" t="inlineStr">
        <is>
          <t>P0</t>
        </is>
      </c>
      <c r="G41" s="10" t="inlineStr">
        <is>
          <t>OPEN</t>
        </is>
      </c>
      <c r="H41" s="6" t="inlineStr">
        <is>
          <t>First-class milestone route exists but client uses closest-writer fallback.</t>
        </is>
      </c>
      <c r="I41" s="6" t="inlineStr">
        <is>
          <t>Wire frozen Milestone sheet to milestone endpoint and remove fallback.</t>
        </is>
      </c>
      <c r="J41" s="6" t="inlineStr">
        <is>
          <t>Milestone row created with no business_update write.</t>
        </is>
      </c>
      <c r="K41" s="6" t="inlineStr">
        <is>
          <t>02,04,14</t>
        </is>
      </c>
      <c r="L41" s="6" t="inlineStr">
        <is>
          <t>SP-013,SP-002</t>
        </is>
      </c>
      <c r="M41" s="6" t="n">
        <v>32</v>
      </c>
      <c r="N41" s="6" t="inlineStr">
        <is>
          <t>Business Vertical</t>
        </is>
      </c>
      <c r="O41" s="6" t="inlineStr">
        <is>
          <t>Business Closure row 12 / CL-16</t>
        </is>
      </c>
    </row>
    <row r="42">
      <c r="A42" s="6" t="inlineStr">
        <is>
          <t>BUS-004</t>
        </is>
      </c>
      <c r="B42" s="15" t="inlineStr">
        <is>
          <t>Business</t>
        </is>
      </c>
      <c r="C42" s="6" t="inlineStr">
        <is>
          <t>Team Operations</t>
        </is>
      </c>
      <c r="D42" s="6" t="inlineStr">
        <is>
          <t>Blocker vs Risk semantics</t>
        </is>
      </c>
      <c r="E42" s="6" t="inlineStr">
        <is>
          <t>BUSINESS_RULE_GAP</t>
        </is>
      </c>
      <c r="F42" s="9" t="inlineStr">
        <is>
          <t>P1</t>
        </is>
      </c>
      <c r="G42" s="10" t="inlineStr">
        <is>
          <t>OPEN</t>
        </is>
      </c>
      <c r="H42" s="6" t="inlineStr">
        <is>
          <t>Issue route exists; Risk Flag semantics may require canonical risk rather than issue.</t>
        </is>
      </c>
      <c r="I42" s="6" t="inlineStr">
        <is>
          <t>Validate UI semantic selection and route risk actions to canonical risk command.</t>
        </is>
      </c>
      <c r="J42" s="6" t="inlineStr">
        <is>
          <t>Risk Flag creates risk when risk semantics selected; blocker remains issue.</t>
        </is>
      </c>
      <c r="K42" s="6" t="inlineStr">
        <is>
          <t>05,12</t>
        </is>
      </c>
      <c r="L42" s="6" t="inlineStr">
        <is>
          <t>SP-006,SP-012</t>
        </is>
      </c>
      <c r="M42" s="6" t="n">
        <v>33</v>
      </c>
      <c r="N42" s="6" t="inlineStr">
        <is>
          <t>Business Vertical</t>
        </is>
      </c>
      <c r="O42" s="6" t="inlineStr">
        <is>
          <t>Business Closure row 13 / CL-13</t>
        </is>
      </c>
    </row>
    <row r="43">
      <c r="A43" s="6" t="inlineStr">
        <is>
          <t>BUS-005</t>
        </is>
      </c>
      <c r="B43" s="15" t="inlineStr">
        <is>
          <t>Business</t>
        </is>
      </c>
      <c r="C43" s="6" t="inlineStr">
        <is>
          <t>Team Operations</t>
        </is>
      </c>
      <c r="D43" s="6" t="inlineStr">
        <is>
          <t>Business poll participant/anonymity validation</t>
        </is>
      </c>
      <c r="E43" s="6" t="inlineStr">
        <is>
          <t>AUTH_GAP</t>
        </is>
      </c>
      <c r="F43" s="9" t="inlineStr">
        <is>
          <t>P1</t>
        </is>
      </c>
      <c r="G43" s="10" t="inlineStr">
        <is>
          <t>OPEN</t>
        </is>
      </c>
      <c r="H43" s="6" t="inlineStr">
        <is>
          <t>Poll is first-class but Group-style membership assumptions may fail in Business participant scope.</t>
        </is>
      </c>
      <c r="I43" s="6" t="inlineStr">
        <is>
          <t>Validate company/team participant scope, anonymity and read DTO authorization.</t>
        </is>
      </c>
      <c r="J43" s="6" t="inlineStr">
        <is>
          <t>Authorized Business participants vote/read correctly; unauthorized cannot.</t>
        </is>
      </c>
      <c r="K43" s="6" t="inlineStr">
        <is>
          <t>11,12</t>
        </is>
      </c>
      <c r="L43" s="6" t="inlineStr">
        <is>
          <t>SP-003,SP-004,SP-012</t>
        </is>
      </c>
      <c r="M43" s="6" t="n">
        <v>34</v>
      </c>
      <c r="N43" s="6" t="inlineStr">
        <is>
          <t>Business Vertical</t>
        </is>
      </c>
      <c r="O43" s="6" t="inlineStr">
        <is>
          <t>Business Closure row 14 / CL-17</t>
        </is>
      </c>
    </row>
    <row r="44">
      <c r="A44" s="6" t="inlineStr">
        <is>
          <t>BUS-006</t>
        </is>
      </c>
      <c r="B44" s="15" t="inlineStr">
        <is>
          <t>Business</t>
        </is>
      </c>
      <c r="C44" s="6" t="inlineStr">
        <is>
          <t>Team Operations</t>
        </is>
      </c>
      <c r="D44" s="6" t="inlineStr">
        <is>
          <t>Capacity / workload metrics</t>
        </is>
      </c>
      <c r="E44" s="6" t="inlineStr">
        <is>
          <t>METRIC_GAP</t>
        </is>
      </c>
      <c r="F44" s="9" t="inlineStr">
        <is>
          <t>P1</t>
        </is>
      </c>
      <c r="G44" s="10" t="inlineStr">
        <is>
          <t>OPEN</t>
        </is>
      </c>
      <c r="H44" s="6" t="inlineStr">
        <is>
          <t>Capacity and workload Pulse values are missing/honest-empty.</t>
        </is>
      </c>
      <c r="I44" s="6" t="inlineStr">
        <is>
          <t>Implement team_capacity_utilization_v1 and rolling workload-by-department metrics; bind Pulse DTO.</t>
        </is>
      </c>
      <c r="J44" s="6" t="inlineStr">
        <is>
          <t>Golden metric tests pass and non-empty values reconcile to assignments/capacity.</t>
        </is>
      </c>
      <c r="K44" s="6" t="inlineStr">
        <is>
          <t>08,10</t>
        </is>
      </c>
      <c r="L44" s="6" t="inlineStr">
        <is>
          <t>SP-009,SP-011</t>
        </is>
      </c>
      <c r="M44" s="6" t="n">
        <v>40</v>
      </c>
      <c r="N44" s="6" t="inlineStr">
        <is>
          <t>Business Reads</t>
        </is>
      </c>
      <c r="O44" s="6" t="inlineStr">
        <is>
          <t>Business Closure rows 0-1 / CL-12</t>
        </is>
      </c>
    </row>
    <row r="45">
      <c r="A45" s="6" t="inlineStr">
        <is>
          <t>BUS-007</t>
        </is>
      </c>
      <c r="B45" s="15" t="inlineStr">
        <is>
          <t>Business</t>
        </is>
      </c>
      <c r="C45" s="6" t="inlineStr">
        <is>
          <t>Team Operations</t>
        </is>
      </c>
      <c r="D45" s="6" t="inlineStr">
        <is>
          <t>Roster / share / weekly report</t>
        </is>
      </c>
      <c r="E45" s="6" t="inlineStr">
        <is>
          <t>API_GAP</t>
        </is>
      </c>
      <c r="F45" s="9" t="inlineStr">
        <is>
          <t>P1</t>
        </is>
      </c>
      <c r="G45" s="10" t="inlineStr">
        <is>
          <t>OPEN</t>
        </is>
      </c>
      <c r="H45" s="6" t="inlineStr">
        <is>
          <t>Recipient roster missing, share is no-op/disabled, weekly report CTA is miswired.</t>
        </is>
      </c>
      <c r="I45" s="6" t="inlineStr">
        <is>
          <t>Implement membership read, audited share/notify command and weekly report projection/read; wire clients.</t>
        </is>
      </c>
      <c r="J45" s="6" t="inlineStr">
        <is>
          <t>Roster scoped correctly, share audited/delivered, report CTA opens reconciled data.</t>
        </is>
      </c>
      <c r="K45" s="6" t="inlineStr">
        <is>
          <t>02,03,08,11,14</t>
        </is>
      </c>
      <c r="L45" s="6" t="inlineStr">
        <is>
          <t>SP-003,SP-009,SP-013</t>
        </is>
      </c>
      <c r="M45" s="6" t="n">
        <v>41</v>
      </c>
      <c r="N45" s="6" t="inlineStr">
        <is>
          <t>Business Reads</t>
        </is>
      </c>
      <c r="O45" s="6" t="inlineStr">
        <is>
          <t>Business Closure rows 3,5,6 / CL-11,CL-40</t>
        </is>
      </c>
    </row>
    <row r="46">
      <c r="A46" s="6" t="inlineStr">
        <is>
          <t>BUS-008</t>
        </is>
      </c>
      <c r="B46" s="15" t="inlineStr">
        <is>
          <t>Business</t>
        </is>
      </c>
      <c r="C46" s="6" t="inlineStr">
        <is>
          <t>Business Runway</t>
        </is>
      </c>
      <c r="D46" s="6" t="inlineStr">
        <is>
          <t>Runway deltas / progress snapshot metrics</t>
        </is>
      </c>
      <c r="E46" s="6" t="inlineStr">
        <is>
          <t>METRIC_GAP</t>
        </is>
      </c>
      <c r="F46" s="9" t="inlineStr">
        <is>
          <t>P1</t>
        </is>
      </c>
      <c r="G46" s="10" t="inlineStr">
        <is>
          <t>OPEN</t>
        </is>
      </c>
      <c r="H46" s="6" t="inlineStr">
        <is>
          <t>MoM/trend deltas unbound and progress snapshot uses missing/heuristic values.</t>
        </is>
      </c>
      <c r="I46" s="6" t="inlineStr">
        <is>
          <t>Implement comparison windows, collections/health metrics and bind runway Pulse DTO.</t>
        </is>
      </c>
      <c r="J46" s="6" t="inlineStr">
        <is>
          <t>Golden previous-period tests pass and snapshot reconciles to invoices/cash/burn.</t>
        </is>
      </c>
      <c r="K46" s="6" t="inlineStr">
        <is>
          <t>08,10</t>
        </is>
      </c>
      <c r="L46" s="6" t="inlineStr">
        <is>
          <t>SP-009,SP-011</t>
        </is>
      </c>
      <c r="M46" s="6" t="n">
        <v>42</v>
      </c>
      <c r="N46" s="6" t="inlineStr">
        <is>
          <t>Business Reads</t>
        </is>
      </c>
      <c r="O46" s="6" t="inlineStr">
        <is>
          <t>Business Closure rows 15-16 / CL-25,CL-37</t>
        </is>
      </c>
    </row>
    <row r="47">
      <c r="A47" s="6" t="inlineStr">
        <is>
          <t>BUS-009</t>
        </is>
      </c>
      <c r="B47" s="15" t="inlineStr">
        <is>
          <t>Business</t>
        </is>
      </c>
      <c r="C47" s="6" t="inlineStr">
        <is>
          <t>Business Runway</t>
        </is>
      </c>
      <c r="D47" s="6" t="inlineStr">
        <is>
          <t>Tax obligation first-class fact</t>
        </is>
      </c>
      <c r="E47" s="6" t="inlineStr">
        <is>
          <t>SCHEMA_GAP</t>
        </is>
      </c>
      <c r="F47" s="10" t="inlineStr">
        <is>
          <t>P0</t>
        </is>
      </c>
      <c r="G47" s="10" t="inlineStr">
        <is>
          <t>OPEN</t>
        </is>
      </c>
      <c r="H47" s="6" t="inlineStr">
        <is>
          <t>Tax Entry is persisted as expense category TAX, conflating obligation with payment fact.</t>
        </is>
      </c>
      <c r="I47" s="6" t="inlineStr">
        <is>
          <t>Implement finance.tax_obligation and company tax-obligation command; expense remains payment only.</t>
        </is>
      </c>
      <c r="J47" s="6" t="inlineStr">
        <is>
          <t>Tax type/period/due/status persist independently and reconcile to payments.</t>
        </is>
      </c>
      <c r="K47" s="6" t="inlineStr">
        <is>
          <t>02,05,06,14</t>
        </is>
      </c>
      <c r="L47" s="6" t="inlineStr">
        <is>
          <t>SP-005,SP-006</t>
        </is>
      </c>
      <c r="M47" s="6" t="n">
        <v>35</v>
      </c>
      <c r="N47" s="6" t="inlineStr">
        <is>
          <t>Business Vertical</t>
        </is>
      </c>
      <c r="O47" s="6" t="inlineStr">
        <is>
          <t>Business Closure row 19 / CL-21</t>
        </is>
      </c>
    </row>
    <row r="48">
      <c r="A48" s="6" t="inlineStr">
        <is>
          <t>BUS-010</t>
        </is>
      </c>
      <c r="B48" s="15" t="inlineStr">
        <is>
          <t>Business</t>
        </is>
      </c>
      <c r="C48" s="6" t="inlineStr">
        <is>
          <t>Business Runway</t>
        </is>
      </c>
      <c r="D48" s="6" t="inlineStr">
        <is>
          <t>Investor update first-class contract</t>
        </is>
      </c>
      <c r="E48" s="6" t="inlineStr">
        <is>
          <t>SCHEMA_GAP</t>
        </is>
      </c>
      <c r="F48" s="10" t="inlineStr">
        <is>
          <t>P0</t>
        </is>
      </c>
      <c r="G48" s="10" t="inlineStr">
        <is>
          <t>OPEN</t>
        </is>
      </c>
      <c r="H48" s="6" t="inlineStr">
        <is>
          <t>Investor Update uses generic business-updates.</t>
        </is>
      </c>
      <c r="I48" s="6" t="inlineStr">
        <is>
          <t>Implement structured investor update/dispatch with audience and delivery status.</t>
        </is>
      </c>
      <c r="J48" s="6" t="inlineStr">
        <is>
          <t>Audience/content/dispatch/audit persist canonically.</t>
        </is>
      </c>
      <c r="K48" s="6" t="inlineStr">
        <is>
          <t>02,05,06,14</t>
        </is>
      </c>
      <c r="L48" s="6" t="inlineStr">
        <is>
          <t>SP-005,SP-006,SP-008</t>
        </is>
      </c>
      <c r="M48" s="6" t="n">
        <v>36</v>
      </c>
      <c r="N48" s="6" t="inlineStr">
        <is>
          <t>Business Vertical</t>
        </is>
      </c>
      <c r="O48" s="6" t="inlineStr">
        <is>
          <t>Business Closure row 20 / CL-22</t>
        </is>
      </c>
    </row>
    <row r="49">
      <c r="A49" s="6" t="inlineStr">
        <is>
          <t>BUS-011</t>
        </is>
      </c>
      <c r="B49" s="15" t="inlineStr">
        <is>
          <t>Business</t>
        </is>
      </c>
      <c r="C49" s="6" t="inlineStr">
        <is>
          <t>Business Runway</t>
        </is>
      </c>
      <c r="D49" s="6" t="inlineStr">
        <is>
          <t>Budget alert semantics</t>
        </is>
      </c>
      <c r="E49" s="6" t="inlineStr">
        <is>
          <t>BUSINESS_RULE_GAP</t>
        </is>
      </c>
      <c r="F49" s="10" t="inlineStr">
        <is>
          <t>P0</t>
        </is>
      </c>
      <c r="G49" s="10" t="inlineStr">
        <is>
          <t>OPEN</t>
        </is>
      </c>
      <c r="H49" s="6" t="inlineStr">
        <is>
          <t>Budget Alert is persisted as issue/severity rather than budget/metric threshold event.</t>
        </is>
      </c>
      <c r="I49" s="6" t="inlineStr">
        <is>
          <t>Implement budget alert contract tied to budget, threshold, period and evidence; issue may be consequence only.</t>
        </is>
      </c>
      <c r="J49" s="6" t="inlineStr">
        <is>
          <t>Alert reconciles to budget/metric evidence and downstream notification.</t>
        </is>
      </c>
      <c r="K49" s="6" t="inlineStr">
        <is>
          <t>05,10,12</t>
        </is>
      </c>
      <c r="L49" s="6" t="inlineStr">
        <is>
          <t>SP-006,SP-011,SP-012</t>
        </is>
      </c>
      <c r="M49" s="6" t="n">
        <v>37</v>
      </c>
      <c r="N49" s="6" t="inlineStr">
        <is>
          <t>Business Vertical</t>
        </is>
      </c>
      <c r="O49" s="6" t="inlineStr">
        <is>
          <t>Business Closure row 21 / CL-23</t>
        </is>
      </c>
    </row>
    <row r="50">
      <c r="A50" s="6" t="inlineStr">
        <is>
          <t>BUS-012</t>
        </is>
      </c>
      <c r="B50" s="15" t="inlineStr">
        <is>
          <t>Business</t>
        </is>
      </c>
      <c r="C50" s="6" t="inlineStr">
        <is>
          <t>Business Runway</t>
        </is>
      </c>
      <c r="D50" s="6" t="inlineStr">
        <is>
          <t>Forecast scenario/lines canonical contract</t>
        </is>
      </c>
      <c r="E50" s="6" t="inlineStr">
        <is>
          <t>SCHEMA_GAP</t>
        </is>
      </c>
      <c r="F50" s="10" t="inlineStr">
        <is>
          <t>P0</t>
        </is>
      </c>
      <c r="G50" s="10" t="inlineStr">
        <is>
          <t>OPEN</t>
        </is>
      </c>
      <c r="H50" s="6" t="inlineStr">
        <is>
          <t>Forecast Update uses generic business-update and lacks versioned scenario/line semantics.</t>
        </is>
      </c>
      <c r="I50" s="6" t="inlineStr">
        <is>
          <t>Implement finance.forecast_scenario + forecast_line and company forecast command.</t>
        </is>
      </c>
      <c r="J50" s="6" t="inlineStr">
        <is>
          <t>Versioned forecast drives runway projection and versioning tests pass.</t>
        </is>
      </c>
      <c r="K50" s="6" t="inlineStr">
        <is>
          <t>02,05,06,08</t>
        </is>
      </c>
      <c r="L50" s="6" t="inlineStr">
        <is>
          <t>SP-005,SP-006,SP-009</t>
        </is>
      </c>
      <c r="M50" s="6" t="n">
        <v>38</v>
      </c>
      <c r="N50" s="6" t="inlineStr">
        <is>
          <t>Business Vertical</t>
        </is>
      </c>
      <c r="O50" s="6" t="inlineStr">
        <is>
          <t>Business Closure row 22 / CL-20</t>
        </is>
      </c>
    </row>
    <row r="51">
      <c r="A51" s="6" t="inlineStr">
        <is>
          <t>BUS-013</t>
        </is>
      </c>
      <c r="B51" s="15" t="inlineStr">
        <is>
          <t>Business</t>
        </is>
      </c>
      <c r="C51" s="6" t="inlineStr">
        <is>
          <t>Business Operations</t>
        </is>
      </c>
      <c r="D51" s="6" t="inlineStr">
        <is>
          <t>Budget review canonical semantics</t>
        </is>
      </c>
      <c r="E51" s="6" t="inlineStr">
        <is>
          <t>BUSINESS_RULE_GAP</t>
        </is>
      </c>
      <c r="F51" s="10" t="inlineStr">
        <is>
          <t>P0</t>
        </is>
      </c>
      <c r="G51" s="10" t="inlineStr">
        <is>
          <t>OPEN</t>
        </is>
      </c>
      <c r="H51" s="6" t="inlineStr">
        <is>
          <t>Budget Review uses generic business-update.</t>
        </is>
      </c>
      <c r="I51" s="6" t="inlineStr">
        <is>
          <t>Implement budget review against budget/review canonical semantics, tied to period/variance/notes and finance facts.</t>
        </is>
      </c>
      <c r="J51" s="6" t="inlineStr">
        <is>
          <t>Review is auditable and reconciles to budget facts.</t>
        </is>
      </c>
      <c r="K51" s="6" t="inlineStr">
        <is>
          <t>02,05,12</t>
        </is>
      </c>
      <c r="L51" s="6" t="inlineStr">
        <is>
          <t>SP-006,SP-012</t>
        </is>
      </c>
      <c r="M51" s="6" t="n">
        <v>39</v>
      </c>
      <c r="N51" s="6" t="inlineStr">
        <is>
          <t>Business Vertical</t>
        </is>
      </c>
      <c r="O51" s="6" t="inlineStr">
        <is>
          <t>Business Closure row 27 / CL-23</t>
        </is>
      </c>
    </row>
    <row r="52">
      <c r="A52" s="6" t="inlineStr">
        <is>
          <t>BUS-014</t>
        </is>
      </c>
      <c r="B52" s="15" t="inlineStr">
        <is>
          <t>Business</t>
        </is>
      </c>
      <c r="C52" s="6" t="inlineStr">
        <is>
          <t>Business Operations</t>
        </is>
      </c>
      <c r="D52" s="6" t="inlineStr">
        <is>
          <t>Vendor / SLA existing-selection UX</t>
        </is>
      </c>
      <c r="E52" s="6" t="inlineStr">
        <is>
          <t>CLIENT_GAP</t>
        </is>
      </c>
      <c r="F52" s="9" t="inlineStr">
        <is>
          <t>P1</t>
        </is>
      </c>
      <c r="G52" s="10" t="inlineStr">
        <is>
          <t>OPEN</t>
        </is>
      </c>
      <c r="H52" s="6" t="inlineStr">
        <is>
          <t>First-class vendor/SLA routes exist but UX often creates new vendor, risking duplicates.</t>
        </is>
      </c>
      <c r="I52" s="6" t="inlineStr">
        <is>
          <t>Rewire UI to select existing vendor/contract/SLA definition before update/check; create only explicitly.</t>
        </is>
      </c>
      <c r="J52" s="6" t="inlineStr">
        <is>
          <t>Existing chain can be selected/updated without duplicate vendor creation.</t>
        </is>
      </c>
      <c r="K52" s="6" t="inlineStr">
        <is>
          <t>01,02,04</t>
        </is>
      </c>
      <c r="L52" s="6" t="inlineStr">
        <is>
          <t>SP-013,SP-002</t>
        </is>
      </c>
      <c r="M52" s="6" t="n">
        <v>43</v>
      </c>
      <c r="N52" s="6" t="inlineStr">
        <is>
          <t>Business UX</t>
        </is>
      </c>
      <c r="O52" s="6" t="inlineStr">
        <is>
          <t>Business Closure rows 28-29 / CL-27,CL-28</t>
        </is>
      </c>
    </row>
    <row r="53">
      <c r="A53" s="6" t="inlineStr">
        <is>
          <t>BUS-015</t>
        </is>
      </c>
      <c r="B53" s="15" t="inlineStr">
        <is>
          <t>Business</t>
        </is>
      </c>
      <c r="C53" s="6" t="inlineStr">
        <is>
          <t>Business Operations</t>
        </is>
      </c>
      <c r="D53" s="6" t="inlineStr">
        <is>
          <t>Issue evidence persistence</t>
        </is>
      </c>
      <c r="E53" s="6" t="inlineStr">
        <is>
          <t>API_GAP</t>
        </is>
      </c>
      <c r="F53" s="9" t="inlineStr">
        <is>
          <t>P1</t>
        </is>
      </c>
      <c r="G53" s="10" t="inlineStr">
        <is>
          <t>OPEN</t>
        </is>
      </c>
      <c r="H53" s="6" t="inlineStr">
        <is>
          <t>Issue exists first-class but evidence/attachment affordance is UI-only.</t>
        </is>
      </c>
      <c r="I53" s="6" t="inlineStr">
        <is>
          <t>Bind evidence to supported media/evidence contract or remove affordance until contract exists.</t>
        </is>
      </c>
      <c r="J53" s="6" t="inlineStr">
        <is>
          <t>Authorized evidence reference persists and renders.</t>
        </is>
      </c>
      <c r="K53" s="6" t="inlineStr">
        <is>
          <t>02,03,05,11</t>
        </is>
      </c>
      <c r="L53" s="6" t="inlineStr">
        <is>
          <t>SP-003,SP-006</t>
        </is>
      </c>
      <c r="M53" s="6" t="n">
        <v>44</v>
      </c>
      <c r="N53" s="6" t="inlineStr">
        <is>
          <t>Business UX</t>
        </is>
      </c>
      <c r="O53" s="6" t="inlineStr">
        <is>
          <t>Business Closure row 30 / CL-26,CL-40</t>
        </is>
      </c>
    </row>
    <row r="54">
      <c r="A54" s="6" t="inlineStr">
        <is>
          <t>BUS-016</t>
        </is>
      </c>
      <c r="B54" s="15" t="inlineStr">
        <is>
          <t>Business</t>
        </is>
      </c>
      <c r="C54" s="6" t="inlineStr">
        <is>
          <t>Business Operations</t>
        </is>
      </c>
      <c r="D54" s="6" t="inlineStr">
        <is>
          <t>Reminder / escalation + share commands</t>
        </is>
      </c>
      <c r="E54" s="6" t="inlineStr">
        <is>
          <t>API_GAP</t>
        </is>
      </c>
      <c r="F54" s="9" t="inlineStr">
        <is>
          <t>P1</t>
        </is>
      </c>
      <c r="G54" s="10" t="inlineStr">
        <is>
          <t>OPEN</t>
        </is>
      </c>
      <c r="H54" s="6" t="inlineStr">
        <is>
          <t>Escalate/send reminder labels and Memory Share lack complete audited delivery behavior.</t>
        </is>
      </c>
      <c r="I54" s="6" t="inlineStr">
        <is>
          <t>Implement notification/governance commands and audited share semantics; otherwise remove actionable affordance.</t>
        </is>
      </c>
      <c r="J54" s="6" t="inlineStr">
        <is>
          <t>Authorized action produces audited delivery and stable error behavior.</t>
        </is>
      </c>
      <c r="K54" s="6" t="inlineStr">
        <is>
          <t>02,03,11,12</t>
        </is>
      </c>
      <c r="L54" s="6" t="inlineStr">
        <is>
          <t>SP-002,SP-003,SP-012</t>
        </is>
      </c>
      <c r="M54" s="6" t="n">
        <v>46</v>
      </c>
      <c r="N54" s="6" t="inlineStr">
        <is>
          <t>Business Integration</t>
        </is>
      </c>
      <c r="O54" s="6" t="inlineStr">
        <is>
          <t>Business Closure rows 25-26 / CL-40</t>
        </is>
      </c>
    </row>
    <row r="55">
      <c r="A55" s="6" t="inlineStr">
        <is>
          <t>BUS-017</t>
        </is>
      </c>
      <c r="B55" s="15" t="inlineStr">
        <is>
          <t>Business</t>
        </is>
      </c>
      <c r="C55" s="6" t="inlineStr">
        <is>
          <t>Company Life</t>
        </is>
      </c>
      <c r="D55" s="6" t="inlineStr">
        <is>
          <t>Company-scoped Life route correction</t>
        </is>
      </c>
      <c r="E55" s="6" t="inlineStr">
        <is>
          <t>API_GAP</t>
        </is>
      </c>
      <c r="F55" s="10" t="inlineStr">
        <is>
          <t>P0</t>
        </is>
      </c>
      <c r="G55" s="10" t="inlineStr">
        <is>
          <t>OPEN</t>
        </is>
      </c>
      <c r="H55" s="6" t="inlineStr">
        <is>
          <t>Runtime uses moment-scoped Life semantics; finalized design requires company-scoped B-L01.</t>
        </is>
      </c>
      <c r="I55" s="6" t="inlineStr">
        <is>
          <t>Move Business Life to GET /v1/companies/{companyId}/life; prohibit removed family/moment Life routes; enforce company auth.</t>
        </is>
      </c>
      <c r="J55" s="6" t="inlineStr">
        <is>
          <t>Only company route serves B-L01; cross-company negative tests pass.</t>
        </is>
      </c>
      <c r="K55" s="6" t="inlineStr">
        <is>
          <t>02,03,11,14</t>
        </is>
      </c>
      <c r="L55" s="6" t="inlineStr">
        <is>
          <t>SP-001,SP-003</t>
        </is>
      </c>
      <c r="M55" s="6" t="n">
        <v>47</v>
      </c>
      <c r="N55" s="6" t="inlineStr">
        <is>
          <t>Business Life</t>
        </is>
      </c>
      <c r="O55" s="6" t="inlineStr">
        <is>
          <t>Business Life LIFE-01,LIFE-14,LIFE-16</t>
        </is>
      </c>
    </row>
    <row r="56">
      <c r="A56" s="6" t="inlineStr">
        <is>
          <t>BUS-018</t>
        </is>
      </c>
      <c r="B56" s="15" t="inlineStr">
        <is>
          <t>Business</t>
        </is>
      </c>
      <c r="C56" s="6" t="inlineStr">
        <is>
          <t>Company Life</t>
        </is>
      </c>
      <c r="D56" s="6" t="inlineStr">
        <is>
          <t>Versioned DTO / module cards / activity / freshness</t>
        </is>
      </c>
      <c r="E56" s="6" t="inlineStr">
        <is>
          <t>PROJECTION_GAP</t>
        </is>
      </c>
      <c r="F56" s="10" t="inlineStr">
        <is>
          <t>P0</t>
        </is>
      </c>
      <c r="G56" s="10" t="inlineStr">
        <is>
          <t>OPEN</t>
        </is>
      </c>
      <c r="H56" s="6" t="inlineStr">
        <is>
          <t>Life payload is thin/proxy; core module cards, activity and freshness/version are incomplete.</t>
        </is>
      </c>
      <c r="I56" s="6" t="inlineStr">
        <is>
          <t>Implement versioned Company Life DTO/projection with module cards, company activity, projectionVersion/updatedAt/status.</t>
        </is>
      </c>
      <c r="J56" s="6" t="inlineStr">
        <is>
          <t>Core cards/activity are server-authoritative and projection-consistent.</t>
        </is>
      </c>
      <c r="K56" s="6" t="inlineStr">
        <is>
          <t>08,13</t>
        </is>
      </c>
      <c r="L56" s="6" t="inlineStr">
        <is>
          <t>BUS-017,SP-009,SP-010</t>
        </is>
      </c>
      <c r="M56" s="6" t="n">
        <v>48</v>
      </c>
      <c r="N56" s="6" t="inlineStr">
        <is>
          <t>Business Life</t>
        </is>
      </c>
      <c r="O56" s="6" t="inlineStr">
        <is>
          <t>Business Life Wave 1 / LIFE-02,04,05,06,09,15</t>
        </is>
      </c>
    </row>
    <row r="57">
      <c r="A57" s="6" t="inlineStr">
        <is>
          <t>BUS-019</t>
        </is>
      </c>
      <c r="B57" s="15" t="inlineStr">
        <is>
          <t>Business</t>
        </is>
      </c>
      <c r="C57" s="6" t="inlineStr">
        <is>
          <t>Company Life</t>
        </is>
      </c>
      <c r="D57" s="6" t="inlineStr">
        <is>
          <t>business_life_health_v1 + signals</t>
        </is>
      </c>
      <c r="E57" s="6" t="inlineStr">
        <is>
          <t>METRIC_GAP</t>
        </is>
      </c>
      <c r="F57" s="10" t="inlineStr">
        <is>
          <t>P0</t>
        </is>
      </c>
      <c r="G57" s="10" t="inlineStr">
        <is>
          <t>OPEN</t>
        </is>
      </c>
      <c r="H57" s="6" t="inlineStr">
        <is>
          <t>Health/signal values use proxy/thin semantics rather than frozen deterministic metric and evidence taxonomy.</t>
        </is>
      </c>
      <c r="I57" s="6" t="inlineStr">
        <is>
          <t>Implement business_life_health_v1 plus signal taxonomy/ranking/evidence on server.</t>
        </is>
      </c>
      <c r="J57" s="6" t="inlineStr">
        <is>
          <t>Golden health/signal tests pass; no client proxy calculations.</t>
        </is>
      </c>
      <c r="K57" s="6" t="inlineStr">
        <is>
          <t>10</t>
        </is>
      </c>
      <c r="L57" s="6" t="inlineStr">
        <is>
          <t>BUS-018,SP-011</t>
        </is>
      </c>
      <c r="M57" s="6" t="n">
        <v>49</v>
      </c>
      <c r="N57" s="6" t="inlineStr">
        <is>
          <t>Business Life</t>
        </is>
      </c>
      <c r="O57" s="6" t="inlineStr">
        <is>
          <t>Business Life Wave 2 / LIFE-03,LIFE-08</t>
        </is>
      </c>
    </row>
    <row r="58">
      <c r="A58" s="6" t="inlineStr">
        <is>
          <t>BUS-020</t>
        </is>
      </c>
      <c r="B58" s="15" t="inlineStr">
        <is>
          <t>Business</t>
        </is>
      </c>
      <c r="C58" s="6" t="inlineStr">
        <is>
          <t>Company Life</t>
        </is>
      </c>
      <c r="D58" s="6" t="inlineStr">
        <is>
          <t>Trends / journey / vendor support</t>
        </is>
      </c>
      <c r="E58" s="6" t="inlineStr">
        <is>
          <t>PROJECTION_GAP</t>
        </is>
      </c>
      <c r="F58" s="9" t="inlineStr">
        <is>
          <t>P1</t>
        </is>
      </c>
      <c r="G58" s="10" t="inlineStr">
        <is>
          <t>OPEN</t>
        </is>
      </c>
      <c r="H58" s="6" t="inlineStr">
        <is>
          <t>Six-month trends, journey inclusion and vendor supporting payload semantics require deterministic closure.</t>
        </is>
      </c>
      <c r="I58" s="6" t="inlineStr">
        <is>
          <t>Implement versioned trend series, journey rules/order and vendor supporting payload.</t>
        </is>
      </c>
      <c r="J58" s="6" t="inlineStr">
        <is>
          <t>Trends/journey reconcile to canonical history; vendor payload does not alter v1 health unexpectedly.</t>
        </is>
      </c>
      <c r="K58" s="6" t="inlineStr">
        <is>
          <t>08,10</t>
        </is>
      </c>
      <c r="L58" s="6" t="inlineStr">
        <is>
          <t>BUS-018,BUS-019</t>
        </is>
      </c>
      <c r="M58" s="6" t="n">
        <v>50</v>
      </c>
      <c r="N58" s="6" t="inlineStr">
        <is>
          <t>Business Life</t>
        </is>
      </c>
      <c r="O58" s="6" t="inlineStr">
        <is>
          <t>Business Life Wave 3 / LIFE-07,10,11</t>
        </is>
      </c>
    </row>
    <row r="59">
      <c r="A59" s="6" t="inlineStr">
        <is>
          <t>BUS-021</t>
        </is>
      </c>
      <c r="B59" s="15" t="inlineStr">
        <is>
          <t>Business</t>
        </is>
      </c>
      <c r="C59" s="6" t="inlineStr">
        <is>
          <t>Company Life</t>
        </is>
      </c>
      <c r="D59" s="6" t="inlineStr">
        <is>
          <t>Share + detailed report</t>
        </is>
      </c>
      <c r="E59" s="6" t="inlineStr">
        <is>
          <t>API_GAP</t>
        </is>
      </c>
      <c r="F59" s="9" t="inlineStr">
        <is>
          <t>P1</t>
        </is>
      </c>
      <c r="G59" s="10" t="inlineStr">
        <is>
          <t>OPEN</t>
        </is>
      </c>
      <c r="H59" s="6" t="inlineStr">
        <is>
          <t>Company Life Share and Detailed Report actions are not fully implemented/wired.</t>
        </is>
      </c>
      <c r="I59" s="6" t="inlineStr">
        <is>
          <t>Implement authorized/audited share and report read tied to same Life snapshot/version.</t>
        </is>
      </c>
      <c r="J59" s="6" t="inlineStr">
        <is>
          <t>Share is auditable/idempotent; report reconciles to Life snapshot.</t>
        </is>
      </c>
      <c r="K59" s="6" t="inlineStr">
        <is>
          <t>02,03,11,14</t>
        </is>
      </c>
      <c r="L59" s="6" t="inlineStr">
        <is>
          <t>BUS-018,SP-003,SP-002</t>
        </is>
      </c>
      <c r="M59" s="6" t="n">
        <v>51</v>
      </c>
      <c r="N59" s="6" t="inlineStr">
        <is>
          <t>Business Life</t>
        </is>
      </c>
      <c r="O59" s="6" t="inlineStr">
        <is>
          <t>Business Life Wave 4 / LIFE-12,LIFE-13</t>
        </is>
      </c>
    </row>
    <row r="60">
      <c r="A60" s="6" t="inlineStr">
        <is>
          <t>BUS-022</t>
        </is>
      </c>
      <c r="B60" s="15" t="inlineStr">
        <is>
          <t>Business</t>
        </is>
      </c>
      <c r="C60" s="6" t="inlineStr">
        <is>
          <t>Business Integration</t>
        </is>
      </c>
      <c r="D60" s="6" t="inlineStr">
        <is>
          <t>Business write -&gt; outbox -&gt; projection -&gt; refetch</t>
        </is>
      </c>
      <c r="E60" s="6" t="inlineStr">
        <is>
          <t>REFRESH_GAP</t>
        </is>
      </c>
      <c r="F60" s="10" t="inlineStr">
        <is>
          <t>P0</t>
        </is>
      </c>
      <c r="G60" s="10" t="inlineStr">
        <is>
          <t>OPEN</t>
        </is>
      </c>
      <c r="H60" s="6" t="inlineStr">
        <is>
          <t>Business closure pack explicitly requires proof for all remediated writers.</t>
        </is>
      </c>
      <c r="I60" s="6" t="inlineStr">
        <is>
          <t>For every Business P0/P1 writer prove canonical write, outbox event, projection update and client refetch.</t>
        </is>
      </c>
      <c r="J60" s="6" t="inlineStr">
        <is>
          <t>No successful Business write leaves stale canonical UI.</t>
        </is>
      </c>
      <c r="K60" s="6" t="inlineStr">
        <is>
          <t>09,13,14</t>
        </is>
      </c>
      <c r="L60" s="6" t="inlineStr">
        <is>
          <t>BUS-001,BUS-002,BUS-003,BUS-009,BUS-010,BUS-011,BUS-012,BUS-013,BUS-017,BUS-018,SP-008,SP-009,SP-010</t>
        </is>
      </c>
      <c r="M60" s="6" t="n">
        <v>60</v>
      </c>
      <c r="N60" s="6" t="inlineStr">
        <is>
          <t>Business Integration</t>
        </is>
      </c>
      <c r="O60" s="6" t="inlineStr">
        <is>
          <t>Business Closure row 33 / CL-13,CL-40</t>
        </is>
      </c>
    </row>
    <row r="61">
      <c r="A61" s="6" t="inlineStr">
        <is>
          <t>BUS-023</t>
        </is>
      </c>
      <c r="B61" s="15" t="inlineStr">
        <is>
          <t>Business</t>
        </is>
      </c>
      <c r="C61" s="6" t="inlineStr">
        <is>
          <t>Business E2E</t>
        </is>
      </c>
      <c r="D61" s="6" t="inlineStr">
        <is>
          <t>Business release-blocker certification</t>
        </is>
      </c>
      <c r="E61" s="6" t="inlineStr">
        <is>
          <t>TEST_GAP</t>
        </is>
      </c>
      <c r="F61" s="10" t="inlineStr">
        <is>
          <t>P0</t>
        </is>
      </c>
      <c r="G61" s="10" t="inlineStr">
        <is>
          <t>OPEN</t>
        </is>
      </c>
      <c r="H61" s="6" t="inlineStr">
        <is>
          <t>Business packs require every P0/P1 blocker closed with validation evidence.</t>
        </is>
      </c>
      <c r="I61" s="6" t="inlineStr">
        <is>
          <t>Execute contract/integration/auth/metric/projection/mobile E2E validations for Team Ops, Runway, Operations and Company Life.</t>
        </is>
      </c>
      <c r="J61" s="6" t="inlineStr">
        <is>
          <t>All Business P0/P1 blocker rows CLOSED with evidence; deferred AI remains honest-empty.</t>
        </is>
      </c>
      <c r="K61" s="6" t="inlineStr">
        <is>
          <t>14,16</t>
        </is>
      </c>
      <c r="L61" s="6" t="inlineStr">
        <is>
          <t>BUS-022,BUS-006,BUS-007,BUS-008,BUS-014,BUS-015,BUS-016,BUS-019,BUS-020,BUS-021,SP-014</t>
        </is>
      </c>
      <c r="M61" s="6" t="n">
        <v>95</v>
      </c>
      <c r="N61" s="6" t="inlineStr">
        <is>
          <t>Certification</t>
        </is>
      </c>
      <c r="O61" s="6" t="inlineStr">
        <is>
          <t>Business Closure Packs release rule</t>
        </is>
      </c>
    </row>
  </sheetData>
  <autoFilter ref="A1:O6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6" customWidth="1" min="4" max="4"/>
    <col width="28" customWidth="1" min="5" max="5"/>
    <col width="54" customWidth="1" min="6" max="6"/>
  </cols>
  <sheetData>
    <row r="1">
      <c r="A1" s="16" t="inlineStr">
        <is>
          <t>Wave</t>
        </is>
      </c>
      <c r="B1" s="16" t="inlineStr">
        <is>
          <t>Order Range</t>
        </is>
      </c>
      <c r="C1" s="16" t="inlineStr">
        <is>
          <t>Focus</t>
        </is>
      </c>
      <c r="D1" s="16" t="inlineStr">
        <is>
          <t>Primary Gaps</t>
        </is>
      </c>
      <c r="E1" s="16" t="inlineStr">
        <is>
          <t>Entry Dependency</t>
        </is>
      </c>
      <c r="F1" s="16" t="inlineStr">
        <is>
          <t>Exit Gate</t>
        </is>
      </c>
    </row>
    <row r="2">
      <c r="A2" s="6" t="inlineStr">
        <is>
          <t>Wave 0</t>
        </is>
      </c>
      <c r="B2" s="6" t="inlineStr">
        <is>
          <t>1-7</t>
        </is>
      </c>
      <c r="C2" s="6" t="inlineStr">
        <is>
          <t>Contract, security, migrations, canonical ownership</t>
        </is>
      </c>
      <c r="D2" s="6" t="inlineStr">
        <is>
          <t>SP-001..SP-007</t>
        </is>
      </c>
      <c r="E2" s="6" t="inlineStr">
        <is>
          <t>None</t>
        </is>
      </c>
      <c r="F2" s="6" t="inlineStr">
        <is>
          <t>Authoritative API/security/schema/ownership baseline established.</t>
        </is>
      </c>
    </row>
    <row r="3">
      <c r="A3" s="6" t="inlineStr">
        <is>
          <t>Wave 1</t>
        </is>
      </c>
      <c r="B3" s="6" t="inlineStr">
        <is>
          <t>8-13</t>
        </is>
      </c>
      <c r="C3" s="6" t="inlineStr">
        <is>
          <t>Events, projections, refresh, metrics, state, client parity</t>
        </is>
      </c>
      <c r="D3" s="6" t="inlineStr">
        <is>
          <t>SP-008..SP-013</t>
        </is>
      </c>
      <c r="E3" s="6" t="inlineStr">
        <is>
          <t>Wave 0</t>
        </is>
      </c>
      <c r="F3" s="6" t="inlineStr">
        <is>
          <t>Shared runtime rails are reliable and deterministic.</t>
        </is>
      </c>
    </row>
    <row r="4">
      <c r="A4" s="6" t="inlineStr">
        <is>
          <t>Wave 2</t>
        </is>
      </c>
      <c r="B4" s="6" t="inlineStr">
        <is>
          <t>20-29</t>
        </is>
      </c>
      <c r="C4" s="6" t="inlineStr">
        <is>
          <t>Domain foundations</t>
        </is>
      </c>
      <c r="D4" s="6" t="inlineStr">
        <is>
          <t>PER-001/002/008; GRP-001/002/003; Business canonical foundations</t>
        </is>
      </c>
      <c r="E4" s="6" t="inlineStr">
        <is>
          <t>Waves 0-1</t>
        </is>
      </c>
      <c r="F4" s="6" t="inlineStr">
        <is>
          <t>Required schema/API/governance/metric foundations exist.</t>
        </is>
      </c>
    </row>
    <row r="5">
      <c r="A5" s="6" t="inlineStr">
        <is>
          <t>Wave 3</t>
        </is>
      </c>
      <c r="B5" s="6" t="inlineStr">
        <is>
          <t>30-44</t>
        </is>
      </c>
      <c r="C5" s="6" t="inlineStr">
        <is>
          <t>Domain vertical commands + reads</t>
        </is>
      </c>
      <c r="D5" s="6" t="inlineStr">
        <is>
          <t>Personal domain setup; Group Quick Adds/settlement; Business Team Ops/Runway/Ops</t>
        </is>
      </c>
      <c r="E5" s="6" t="inlineStr">
        <is>
          <t>Wave 2</t>
        </is>
      </c>
      <c r="F5" s="6" t="inlineStr">
        <is>
          <t>Each domain command lands in correct canonical fact and reads are bound.</t>
        </is>
      </c>
    </row>
    <row r="6">
      <c r="A6" s="6" t="inlineStr">
        <is>
          <t>Wave 4</t>
        </is>
      </c>
      <c r="B6" s="6" t="inlineStr">
        <is>
          <t>45-60</t>
        </is>
      </c>
      <c r="C6" s="6" t="inlineStr">
        <is>
          <t>Projection + Life + integration closure</t>
        </is>
      </c>
      <c r="D6" s="6" t="inlineStr">
        <is>
          <t>PER-009; GRP-008; BUS-017..022</t>
        </is>
      </c>
      <c r="E6" s="6" t="inlineStr">
        <is>
          <t>Waves 1-3</t>
        </is>
      </c>
      <c r="F6" s="6" t="inlineStr">
        <is>
          <t>Write -&gt; outbox -&gt; projection -&gt; refetch works across domains.</t>
        </is>
      </c>
    </row>
    <row r="7">
      <c r="A7" s="6" t="inlineStr">
        <is>
          <t>Wave 5</t>
        </is>
      </c>
      <c r="B7" s="6" t="inlineStr">
        <is>
          <t>90-99</t>
        </is>
      </c>
      <c r="C7" s="6" t="inlineStr">
        <is>
          <t>Certification / production gate</t>
        </is>
      </c>
      <c r="D7" s="6" t="inlineStr">
        <is>
          <t>SP-014..016; PER-010; GRP-009; BUS-023</t>
        </is>
      </c>
      <c r="E7" s="6" t="inlineStr">
        <is>
          <t>All release-blocking dependencies</t>
        </is>
      </c>
      <c r="F7" s="6" t="inlineStr">
        <is>
          <t>P0=0; P1 blockers=0 for launch scope; regression and NFR gates green.</t>
        </is>
      </c>
    </row>
    <row r="8">
      <c r="A8" s="6" t="inlineStr">
        <is>
          <t>Deferred</t>
        </is>
      </c>
      <c r="B8" s="6" t="inlineStr">
        <is>
          <t>110+</t>
        </is>
      </c>
      <c r="C8" s="6" t="inlineStr">
        <is>
          <t>AI provenance + legacy cleanup</t>
        </is>
      </c>
      <c r="D8" s="6" t="inlineStr">
        <is>
          <t>SP-018, SP-017</t>
        </is>
      </c>
      <c r="E8" s="6" t="inlineStr">
        <is>
          <t>Core launch complete</t>
        </is>
      </c>
      <c r="F8" s="6" t="inlineStr">
        <is>
          <t>No fabricated intelligence; cleanup isolated from launch risk.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62" customWidth="1" min="3" max="3"/>
  </cols>
  <sheetData>
    <row r="1">
      <c r="A1" s="3" t="inlineStr">
        <is>
          <t>Dependency Layer</t>
        </is>
      </c>
      <c r="B1" s="3" t="inlineStr">
        <is>
          <t>Must Close Before</t>
        </is>
      </c>
      <c r="C1" s="3" t="inlineStr">
        <is>
          <t>Why</t>
        </is>
      </c>
    </row>
    <row r="2">
      <c r="A2" s="6" t="inlineStr">
        <is>
          <t>SP-001 API contract truth</t>
        </is>
      </c>
      <c r="B2" s="6" t="inlineStr">
        <is>
          <t>SP-002, PER-002, GRP-006/007, BUS API rows</t>
        </is>
      </c>
      <c r="C2" s="6" t="inlineStr">
        <is>
          <t>Implementation cannot be certified against drifting contracts.</t>
        </is>
      </c>
    </row>
    <row r="3">
      <c r="A3" s="6" t="inlineStr">
        <is>
          <t>SP-003/004 authorization/governance</t>
        </is>
      </c>
      <c r="B3" s="6" t="inlineStr">
        <is>
          <t>Group/Business governed commands; Company Life</t>
        </is>
      </c>
      <c r="C3" s="6" t="inlineStr">
        <is>
          <t>Scope and role correctness must exist before E2E sign-off.</t>
        </is>
      </c>
    </row>
    <row r="4">
      <c r="A4" s="6" t="inlineStr">
        <is>
          <t>SP-005/006 migrations + canonical ownership</t>
        </is>
      </c>
      <c r="B4" s="6" t="inlineStr">
        <is>
          <t>All domain writers</t>
        </is>
      </c>
      <c r="C4" s="6" t="inlineStr">
        <is>
          <t>Do not wire clients to non-existent or noncanonical persistence.</t>
        </is>
      </c>
    </row>
    <row r="5">
      <c r="A5" s="6" t="inlineStr">
        <is>
          <t>SP-008 events/workers</t>
        </is>
      </c>
      <c r="B5" s="6" t="inlineStr">
        <is>
          <t>SP-009/010 projections/refresh; domain integration</t>
        </is>
      </c>
      <c r="C5" s="6" t="inlineStr">
        <is>
          <t>Projection freshness depends on reliable event propagation.</t>
        </is>
      </c>
    </row>
    <row r="6">
      <c r="A6" s="6" t="inlineStr">
        <is>
          <t>SP-011 metric catalogue</t>
        </is>
      </c>
      <c r="B6" s="6" t="inlineStr">
        <is>
          <t>Personal D07, Group analytics, Business Pulse/Life</t>
        </is>
      </c>
      <c r="C6" s="6" t="inlineStr">
        <is>
          <t>UI values must be server-authoritative and testable.</t>
        </is>
      </c>
    </row>
    <row r="7">
      <c r="A7" s="6" t="inlineStr">
        <is>
          <t>SP-013 parity</t>
        </is>
      </c>
      <c r="B7" s="6" t="inlineStr">
        <is>
          <t>Domain mobile E2E</t>
        </is>
      </c>
      <c r="C7" s="6" t="inlineStr">
        <is>
          <t>Both launch clients must call same frozen contracts.</t>
        </is>
      </c>
    </row>
    <row r="8">
      <c r="A8" s="6" t="inlineStr">
        <is>
          <t>Domain command closure</t>
        </is>
      </c>
      <c r="B8" s="6" t="inlineStr">
        <is>
          <t>Domain projection/Life closure</t>
        </is>
      </c>
      <c r="C8" s="6" t="inlineStr">
        <is>
          <t>Read models cannot be trusted until writes land canonically.</t>
        </is>
      </c>
    </row>
    <row r="9">
      <c r="A9" s="6" t="inlineStr">
        <is>
          <t>Projection + refresh closure</t>
        </is>
      </c>
      <c r="B9" s="6" t="inlineStr">
        <is>
          <t>SP-014 / domain certification</t>
        </is>
      </c>
      <c r="C9" s="6" t="inlineStr">
        <is>
          <t>Visible product behavior is the final proof, not API success alone.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3" t="inlineStr">
        <is>
          <t>Source</t>
        </is>
      </c>
      <c r="B1" s="3" t="inlineStr">
        <is>
          <t>Use in Register</t>
        </is>
      </c>
    </row>
    <row r="2">
      <c r="A2" s="6" t="inlineStr">
        <is>
          <t>api_middleware_sql_audit_e6cb162f.plan (1).md</t>
        </is>
      </c>
      <c r="B2" s="6" t="inlineStr">
        <is>
          <t>16-area audit scope, preliminary cross-stack findings and certification gates.</t>
        </is>
      </c>
    </row>
    <row r="3">
      <c r="A3" s="6" t="inlineStr">
        <is>
          <t>Momentra_Personal_1979_Widget_FINAL_PreFreeze_Validation_v2_Blockers_Resolved.xlsx</t>
        </is>
      </c>
      <c r="B3" s="6" t="inlineStr">
        <is>
          <t>Personal 66-screen/1,979-widget freeze, V035-V037 implementation baseline, D04-D07 remaining decision families.</t>
        </is>
      </c>
    </row>
    <row r="4">
      <c r="A4" s="6" t="inlineStr">
        <is>
          <t>Momentra_Group final field-level mapping / GM0 Gap Register</t>
        </is>
      </c>
      <c r="B4" s="6" t="inlineStr">
        <is>
          <t>Group 217-screen/4,210-widget authority and GM0-G01..G09 implementation blockers.</t>
        </is>
      </c>
    </row>
    <row r="5">
      <c r="A5" s="6" t="inlineStr">
        <is>
          <t>Momentra_Business_Deployment_Closure_Pack.xlsx</t>
        </is>
      </c>
      <c r="B5" s="6" t="inlineStr">
        <is>
          <t>34 Business closure rows and canonical execution waves.</t>
        </is>
      </c>
    </row>
    <row r="6">
      <c r="A6" s="6" t="inlineStr">
        <is>
          <t>Momentra_Business_Life_Deployment_Closure_Pack.xlsx / Plan</t>
        </is>
      </c>
      <c r="B6" s="6" t="inlineStr">
        <is>
          <t>17 Company Life closure rows, company-scoped route, projection/metric/refresh/security rules.</t>
        </is>
      </c>
    </row>
    <row r="7">
      <c r="A7" s="6" t="inlineStr">
        <is>
          <t>Finalized Architecture / ERD / FRD / DDL / PostgreSQL / API mapping documents</t>
        </is>
      </c>
      <c r="B7" s="6" t="inlineStr">
        <is>
          <t>Design authority and canonical ownership baseline referenced by audits and closure packs.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7" t="inlineStr">
        <is>
          <t>Field</t>
        </is>
      </c>
      <c r="B1" s="17" t="inlineStr">
        <is>
          <t>Meaning</t>
        </is>
      </c>
    </row>
    <row r="2">
      <c r="A2" s="6" t="inlineStr">
        <is>
          <t>Root Gap</t>
        </is>
      </c>
      <c r="B2" s="6" t="inlineStr">
        <is>
          <t>One deduplicated remediation unit; repeated symptoms across audits map to this row.</t>
        </is>
      </c>
    </row>
    <row r="3">
      <c r="A3" s="6" t="inlineStr">
        <is>
          <t>Depends On</t>
        </is>
      </c>
      <c r="B3" s="6" t="inlineStr">
        <is>
          <t>Gap IDs that should be closed/established before this row can be certified.</t>
        </is>
      </c>
    </row>
    <row r="4">
      <c r="A4" s="6" t="inlineStr">
        <is>
          <t>Execution Order</t>
        </is>
      </c>
      <c r="B4" s="6" t="inlineStr">
        <is>
          <t>Suggested dependency-respecting order; same-range items may execute in parallel.</t>
        </is>
      </c>
    </row>
    <row r="5">
      <c r="A5" s="6" t="inlineStr">
        <is>
          <t>OPEN</t>
        </is>
      </c>
      <c r="B5" s="6" t="inlineStr">
        <is>
          <t>Root cause remains to be implemented and/or validated.</t>
        </is>
      </c>
    </row>
    <row r="6">
      <c r="A6" s="6" t="inlineStr">
        <is>
          <t>DEFERRED</t>
        </is>
      </c>
      <c r="B6" s="6" t="inlineStr">
        <is>
          <t>Explicitly non-blocking for launch if product/release agrees.</t>
        </is>
      </c>
    </row>
    <row r="7">
      <c r="A7" s="6" t="inlineStr">
        <is>
          <t>Exit / Validation Evidence</t>
        </is>
      </c>
      <c r="B7" s="6" t="inlineStr">
        <is>
          <t>Mandatory proof for closure; implementation without evidence is not CLOSED.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2026-09-01T05:20:38Z</dcterms:created>
  <dcterms:modified xmlns:dcterms="http://purl.org/dc/terms/" xmlns:xsi="http://www.w3.org/2001/XMLSchema-instance" xsi:type="dcterms:W3CDTF">2026-09-01T05:20:38Z</dcterms:modified>
</cp:coreProperties>
</file>